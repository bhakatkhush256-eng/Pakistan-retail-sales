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" sheetId="2" state="visible" r:id="rId4"/>
    <sheet name="Practice_Functions" sheetId="3" state="visible" r:id="rId5"/>
  </sheets>
  <definedNames>
    <definedName function="false" hidden="true" localSheetId="0" name="_xlnm._FilterDatabase" vbProcedure="false">Sales_Data!$A$1:$M$201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<sst xmlns="http://schemas.openxmlformats.org/spreadsheetml/2006/main" count="1276" uniqueCount="298">
  <si>
    <t xml:space="preserve">Order_ID</t>
  </si>
  <si>
    <t xml:space="preserve">Date</t>
  </si>
  <si>
    <t xml:space="preserve">Month</t>
  </si>
  <si>
    <t xml:space="preserve">City</t>
  </si>
  <si>
    <t xml:space="preserve">Category</t>
  </si>
  <si>
    <t xml:space="preserve">Product</t>
  </si>
  <si>
    <t xml:space="preserve">Salesperson</t>
  </si>
  <si>
    <t xml:space="preserve">Quantity</t>
  </si>
  <si>
    <t xml:space="preserve">Unit_Price_PKR</t>
  </si>
  <si>
    <t xml:space="preserve">Discount_%</t>
  </si>
  <si>
    <t xml:space="preserve">Revenue_PKR</t>
  </si>
  <si>
    <t xml:space="preserve">Cost_PKR</t>
  </si>
  <si>
    <t xml:space="preserve">Profit_PKR</t>
  </si>
  <si>
    <t xml:space="preserve">ORD-1001</t>
  </si>
  <si>
    <t xml:space="preserve">March</t>
  </si>
  <si>
    <t xml:space="preserve">Lahore</t>
  </si>
  <si>
    <t xml:space="preserve">Groceries</t>
  </si>
  <si>
    <t xml:space="preserve">Desi Ghee</t>
  </si>
  <si>
    <t xml:space="preserve">Ayesha Malik</t>
  </si>
  <si>
    <t xml:space="preserve">ORD-1002</t>
  </si>
  <si>
    <t xml:space="preserve">Rawalpindi</t>
  </si>
  <si>
    <t xml:space="preserve">Furniture</t>
  </si>
  <si>
    <t xml:space="preserve">Sofa Set</t>
  </si>
  <si>
    <t xml:space="preserve">Ahmed Ali</t>
  </si>
  <si>
    <t xml:space="preserve">ORD-1003</t>
  </si>
  <si>
    <t xml:space="preserve">Electronics</t>
  </si>
  <si>
    <t xml:space="preserve">Smart Watch</t>
  </si>
  <si>
    <t xml:space="preserve">Zain Hussain</t>
  </si>
  <si>
    <t xml:space="preserve">ORD-1004</t>
  </si>
  <si>
    <t xml:space="preserve">January</t>
  </si>
  <si>
    <t xml:space="preserve">Karachi</t>
  </si>
  <si>
    <t xml:space="preserve">Wardrobe</t>
  </si>
  <si>
    <t xml:space="preserve">Bilal Sheikh</t>
  </si>
  <si>
    <t xml:space="preserve">ORD-1005</t>
  </si>
  <si>
    <t xml:space="preserve">February</t>
  </si>
  <si>
    <t xml:space="preserve">Sana Iqbal</t>
  </si>
  <si>
    <t xml:space="preserve">ORD-1006</t>
  </si>
  <si>
    <t xml:space="preserve">Faisalabad</t>
  </si>
  <si>
    <t xml:space="preserve">Cosmetics</t>
  </si>
  <si>
    <t xml:space="preserve">Skin Cream</t>
  </si>
  <si>
    <t xml:space="preserve">ORD-1007</t>
  </si>
  <si>
    <t xml:space="preserve">Islamabad</t>
  </si>
  <si>
    <t xml:space="preserve">Lipstick</t>
  </si>
  <si>
    <t xml:space="preserve">Fatima Khan</t>
  </si>
  <si>
    <t xml:space="preserve">ORD-1008</t>
  </si>
  <si>
    <t xml:space="preserve">Clothing</t>
  </si>
  <si>
    <t xml:space="preserve">T-Shirt</t>
  </si>
  <si>
    <t xml:space="preserve">ORD-1009</t>
  </si>
  <si>
    <t xml:space="preserve">Dupatta</t>
  </si>
  <si>
    <t xml:space="preserve">Usman Raza</t>
  </si>
  <si>
    <t xml:space="preserve">ORD-1010</t>
  </si>
  <si>
    <t xml:space="preserve">Headphones</t>
  </si>
  <si>
    <t xml:space="preserve">ORD-1011</t>
  </si>
  <si>
    <t xml:space="preserve">ORD-1012</t>
  </si>
  <si>
    <t xml:space="preserve">ORD-1013</t>
  </si>
  <si>
    <t xml:space="preserve">ORD-1014</t>
  </si>
  <si>
    <t xml:space="preserve">Laptop</t>
  </si>
  <si>
    <t xml:space="preserve">ORD-1015</t>
  </si>
  <si>
    <t xml:space="preserve">Sugar</t>
  </si>
  <si>
    <t xml:space="preserve">ORD-1016</t>
  </si>
  <si>
    <t xml:space="preserve">Cooking Oil</t>
  </si>
  <si>
    <t xml:space="preserve">ORD-1017</t>
  </si>
  <si>
    <t xml:space="preserve">ORD-1018</t>
  </si>
  <si>
    <t xml:space="preserve">Face Wash</t>
  </si>
  <si>
    <t xml:space="preserve">ORD-1019</t>
  </si>
  <si>
    <t xml:space="preserve">Mobile Phone</t>
  </si>
  <si>
    <t xml:space="preserve">ORD-1020</t>
  </si>
  <si>
    <t xml:space="preserve">ORD-1021</t>
  </si>
  <si>
    <t xml:space="preserve">Dining Table</t>
  </si>
  <si>
    <t xml:space="preserve">Kamran Butt</t>
  </si>
  <si>
    <t xml:space="preserve">ORD-1022</t>
  </si>
  <si>
    <t xml:space="preserve">Study Chair</t>
  </si>
  <si>
    <t xml:space="preserve">Hira Baig</t>
  </si>
  <si>
    <t xml:space="preserve">ORD-1023</t>
  </si>
  <si>
    <t xml:space="preserve">Nadia Aslam</t>
  </si>
  <si>
    <t xml:space="preserve">ORD-1024</t>
  </si>
  <si>
    <t xml:space="preserve">Shalwar Kameez</t>
  </si>
  <si>
    <t xml:space="preserve">ORD-1025</t>
  </si>
  <si>
    <t xml:space="preserve">ORD-1026</t>
  </si>
  <si>
    <t xml:space="preserve">ORD-1027</t>
  </si>
  <si>
    <t xml:space="preserve">ORD-1028</t>
  </si>
  <si>
    <t xml:space="preserve">Charger</t>
  </si>
  <si>
    <t xml:space="preserve">ORD-1029</t>
  </si>
  <si>
    <t xml:space="preserve">ORD-1030</t>
  </si>
  <si>
    <t xml:space="preserve">Bed Frame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</si>
  <si>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</si>
  <si>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</si>
  <si>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</si>
  <si>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</si>
  <si>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</si>
  <si>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</si>
  <si>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</si>
  <si>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</si>
  <si>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Kurta</t>
  </si>
  <si>
    <t xml:space="preserve">ORD-1039</t>
  </si>
  <si>
    <t xml:space="preserve">ORD-1040</t>
  </si>
  <si>
    <t xml:space="preserve">ORD-1041</t>
  </si>
  <si>
    <t xml:space="preserve">ORD-1042</t>
  </si>
  <si>
    <t xml:space="preserve">Basmati Rice</t>
  </si>
  <si>
    <t xml:space="preserve">ORD-1043</t>
  </si>
  <si>
    <t xml:space="preserve">Hair Oil</t>
  </si>
  <si>
    <t xml:space="preserve">ORD-1044</t>
  </si>
  <si>
    <t xml:space="preserve">Jeans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</si>
  <si>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</si>
  <si>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</si>
  <si>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</si>
  <si>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</si>
  <si>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</si>
  <si>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</si>
  <si>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</si>
  <si>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</si>
  <si>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</si>
  <si>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</si>
  <si>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</si>
  <si>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</si>
  <si>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</si>
  <si>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Foundation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</si>
  <si>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</si>
  <si>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</si>
  <si>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</si>
  <si>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</si>
  <si>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</si>
  <si>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</si>
  <si>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</si>
  <si>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ORD-1065</t>
  </si>
  <si>
    <t xml:space="preserve">Flour (Aata)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</si>
  <si>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</si>
  <si>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</si>
  <si>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</si>
  <si>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</si>
  <si>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</si>
  <si>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</si>
  <si>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</si>
  <si>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</si>
  <si>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</si>
  <si>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</si>
  <si>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</si>
  <si>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</si>
  <si>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</si>
  <si>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</si>
  <si>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</si>
  <si>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</si>
  <si>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</si>
  <si>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</si>
  <si>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</si>
  <si>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</si>
  <si>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</si>
  <si>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</si>
  <si>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</si>
  <si>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</si>
  <si>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</si>
  <si>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</si>
  <si>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</si>
  <si>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</si>
  <si>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</si>
  <si>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</si>
  <si>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</si>
  <si>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</si>
  <si>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</si>
  <si>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</si>
  <si>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</si>
  <si>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</si>
  <si>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</si>
  <si>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</si>
  <si>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</si>
  <si>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</si>
  <si>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</si>
  <si>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</si>
  <si>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</si>
  <si>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</si>
  <si>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</si>
  <si>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</si>
  <si>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</si>
  <si>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</si>
  <si>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</si>
  <si>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</si>
  <si>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</si>
  <si>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</si>
  <si>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</si>
  <si>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</si>
  <si>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</si>
  <si>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</si>
  <si>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</si>
  <si>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ORD-1123</t>
  </si>
  <si>
    <t xml:space="preserve">ORD-1124</t>
  </si>
  <si>
    <t xml:space="preserve">ORD-1125</t>
  </si>
  <si>
    <t xml:space="preserve">ORD-1126</t>
  </si>
  <si>
    <t xml:space="preserve">ORD-1127</t>
  </si>
  <si>
    <t xml:space="preserve">ORD-1128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</si>
  <si>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</si>
  <si>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</si>
  <si>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</si>
  <si>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</si>
  <si>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</si>
  <si>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</si>
  <si>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</si>
  <si>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</si>
  <si>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</si>
  <si>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</si>
  <si>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</si>
  <si>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ORD-1140</t>
  </si>
  <si>
    <t xml:space="preserve">ORD-1141</t>
  </si>
  <si>
    <t xml:space="preserve">ORD-1142</t>
  </si>
  <si>
    <t xml:space="preserve">ORD-1143</t>
  </si>
  <si>
    <t xml:space="preserve">ORD-1144</t>
  </si>
  <si>
    <t xml:space="preserve">ORD-1145</t>
  </si>
  <si>
    <t xml:space="preserve">ORD-1146</t>
  </si>
  <si>
    <t xml:space="preserve">ORD-1147</t>
  </si>
  <si>
    <t xml:space="preserve">ORD-1148</t>
  </si>
  <si>
    <t xml:space="preserve">ORD-1149</t>
  </si>
  <si>
    <t xml:space="preserve">ORD-1150</t>
  </si>
  <si>
    <t xml:space="preserve">ORD-1151</t>
  </si>
  <si>
    <t xml:space="preserve">ORD-1152</t>
  </si>
  <si>
    <t xml:space="preserve">ORD-1153</t>
  </si>
  <si>
    <t xml:space="preserve">ORD-1154</t>
  </si>
  <si>
    <t xml:space="preserve">ORD-1155</t>
  </si>
  <si>
    <t xml:space="preserve">ORD-1156</t>
  </si>
  <si>
    <t xml:space="preserve">ORD-1157</t>
  </si>
  <si>
    <t xml:space="preserve">ORD-1158</t>
  </si>
  <si>
    <t xml:space="preserve">ORD-1159</t>
  </si>
  <si>
    <t xml:space="preserve">ORD-1160</t>
  </si>
  <si>
    <t xml:space="preserve">ORD-1161</t>
  </si>
  <si>
    <t xml:space="preserve">ORD-1162</t>
  </si>
  <si>
    <t xml:space="preserve">ORD-1163</t>
  </si>
  <si>
    <t xml:space="preserve">ORD-1164</t>
  </si>
  <si>
    <t xml:space="preserve">ORD-1165</t>
  </si>
  <si>
    <t xml:space="preserve">ORD-1166</t>
  </si>
  <si>
    <t xml:space="preserve">ORD-1167</t>
  </si>
  <si>
    <t xml:space="preserve">ORD-1168</t>
  </si>
  <si>
    <t xml:space="preserve">ORD-1169</t>
  </si>
  <si>
    <t xml:space="preserve">ORD-1170</t>
  </si>
  <si>
    <t xml:space="preserve">ORD-1171</t>
  </si>
  <si>
    <t xml:space="preserve">ORD-1172</t>
  </si>
  <si>
    <t xml:space="preserve">ORD-1173</t>
  </si>
  <si>
    <t xml:space="preserve">ORD-1174</t>
  </si>
  <si>
    <t xml:space="preserve">ORD-1175</t>
  </si>
  <si>
    <t xml:space="preserve">ORD-1176</t>
  </si>
  <si>
    <t xml:space="preserve">ORD-1177</t>
  </si>
  <si>
    <t xml:space="preserve">ORD-1178</t>
  </si>
  <si>
    <t xml:space="preserve">ORD-1179</t>
  </si>
  <si>
    <t xml:space="preserve">ORD-1180</t>
  </si>
  <si>
    <t xml:space="preserve">ORD-1181</t>
  </si>
  <si>
    <t xml:space="preserve">ORD-1182</t>
  </si>
  <si>
    <t xml:space="preserve">ORD-1183</t>
  </si>
  <si>
    <t xml:space="preserve">ORD-1184</t>
  </si>
  <si>
    <t xml:space="preserve">ORD-1185</t>
  </si>
  <si>
    <t xml:space="preserve">ORD-1186</t>
  </si>
  <si>
    <t xml:space="preserve">ORD-1187</t>
  </si>
  <si>
    <t xml:space="preserve">ORD-1188</t>
  </si>
  <si>
    <t xml:space="preserve">ORD-1189</t>
  </si>
  <si>
    <t xml:space="preserve">ORD-1190</t>
  </si>
  <si>
    <t xml:space="preserve">ORD-1191</t>
  </si>
  <si>
    <t xml:space="preserve">ORD-1192</t>
  </si>
  <si>
    <t xml:space="preserve">ORD-1193</t>
  </si>
  <si>
    <t xml:space="preserve">ORD-1194</t>
  </si>
  <si>
    <t xml:space="preserve">ORD-1195</t>
  </si>
  <si>
    <t xml:space="preserve">ORD-1196</t>
  </si>
  <si>
    <t xml:space="preserve">ORD-1197</t>
  </si>
  <si>
    <t xml:space="preserve">ORD-1198</t>
  </si>
  <si>
    <t xml:space="preserve">ORD-1199</t>
  </si>
  <si>
    <t xml:space="preserve">ORD-1200</t>
  </si>
  <si>
    <t xml:space="preserve">🛍️ Pakistan Retail Sales — Q1 2025 Summary</t>
  </si>
  <si>
    <t xml:space="preserve">Revenue by Category (PKR)</t>
  </si>
  <si>
    <t xml:space="preserve">Revenue by City (PKR)</t>
  </si>
  <si>
    <t xml:space="preserve">Total Revenue</t>
  </si>
  <si>
    <t xml:space="preserve">% Share</t>
  </si>
  <si>
    <t xml:space="preserve">Total Profit</t>
  </si>
  <si>
    <t xml:space="preserve">TOTAL</t>
  </si>
  <si>
    <t xml:space="preserve">Monthly Revenue</t>
  </si>
  <si>
    <t xml:space="preserve">Revenue</t>
  </si>
  <si>
    <t xml:space="preserve">Profit</t>
  </si>
  <si>
    <t xml:space="preserve">📊 Excel Functions Practice Sheet</t>
  </si>
  <si>
    <t xml:space="preserve">INSTRUCTIONS: Try to write these formulas yourself in column E. Answers are in column F.</t>
  </si>
  <si>
    <t xml:space="preserve">Function</t>
  </si>
  <si>
    <t xml:space="preserve">Task</t>
  </si>
  <si>
    <t xml:space="preserve">Your Answer →</t>
  </si>
  <si>
    <t xml:space="preserve">Formula to Use</t>
  </si>
  <si>
    <t xml:space="preserve">SUMIF</t>
  </si>
  <si>
    <t xml:space="preserve">Total Revenue from Lahore</t>
  </si>
  <si>
    <t xml:space="preserve">← Write here</t>
  </si>
  <si>
    <t xml:space="preserve">COUNTIF</t>
  </si>
  <si>
    <t xml:space="preserve">Count orders in Clothing category</t>
  </si>
  <si>
    <t xml:space="preserve">AVERAGEIF</t>
  </si>
  <si>
    <t xml:space="preserve">Average profit for Electronics</t>
  </si>
  <si>
    <t xml:space="preserve">SUMIFS</t>
  </si>
  <si>
    <t xml:space="preserve">Total revenue from Karachi + Clothing</t>
  </si>
  <si>
    <t xml:space="preserve">VLOOKUP</t>
  </si>
  <si>
    <t xml:space="preserve">Find Unit Price for 'Laptop'</t>
  </si>
  <si>
    <t xml:space="preserve">MAX</t>
  </si>
  <si>
    <t xml:space="preserve">Highest single order revenue</t>
  </si>
  <si>
    <t xml:space="preserve">MIN</t>
  </si>
  <si>
    <t xml:space="preserve">Lowest single order revenue</t>
  </si>
  <si>
    <t xml:space="preserve">AVERAGE</t>
  </si>
  <si>
    <t xml:space="preserve">Average order revenue</t>
  </si>
  <si>
    <t xml:space="preserve">IF</t>
  </si>
  <si>
    <t xml:space="preserve">Flag profit &gt; 10000 as 'High' else 'Low'</t>
  </si>
  <si>
    <t xml:space="preserve">COUNTA</t>
  </si>
  <si>
    <t xml:space="preserve">Count total orders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</si>
</sst>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0.0%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70AD47"/>
      <name val="Arial"/>
      <family val="0"/>
      <charset val="1"/>
    </font>
    <font>
      <sz val="11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3" min="12" style="0" width="14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n">
        <v>45720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n">
        <v>5</v>
      </c>
      <c r="I2" s="4" t="n">
        <v>1800</v>
      </c>
      <c r="J2" s="2" t="n">
        <v>0</v>
      </c>
      <c r="K2" s="4" t="n">
        <f aca="false">H2*I2*(1-J2/100)</f>
        <v>9000</v>
      </c>
      <c r="L2" s="4" t="n">
        <f aca="false">K2*0.69</f>
        <v>6210</v>
      </c>
      <c r="M2" s="4" t="n">
        <f aca="false">K2-L2</f>
        <v>2790</v>
      </c>
    </row>
    <row r="3" customFormat="false" ht="15" hidden="false" customHeight="false" outlineLevel="0" collapsed="false">
      <c r="A3" s="0" t="s">
        <v>19</v>
      </c>
      <c r="B3" s="5" t="n">
        <v>45719</v>
      </c>
      <c r="C3" s="6" t="s">
        <v>14</v>
      </c>
      <c r="D3" s="6" t="s">
        <v>20</v>
      </c>
      <c r="E3" s="6" t="s">
        <v>21</v>
      </c>
      <c r="F3" s="6" t="s">
        <v>22</v>
      </c>
      <c r="G3" s="6" t="s">
        <v>23</v>
      </c>
      <c r="H3" s="0" t="n">
        <v>3</v>
      </c>
      <c r="I3" s="7" t="n">
        <v>85000</v>
      </c>
      <c r="J3" s="0" t="n">
        <v>5</v>
      </c>
      <c r="K3" s="7" t="n">
        <f aca="false">H3*I3*(1-J3/100)</f>
        <v>242250</v>
      </c>
      <c r="L3" s="7" t="n">
        <f aca="false">K3*0.6</f>
        <v>145350</v>
      </c>
      <c r="M3" s="7" t="n">
        <f aca="false">K3-L3</f>
        <v>96900</v>
      </c>
    </row>
    <row r="4" customFormat="false" ht="15" hidden="false" customHeight="false" outlineLevel="0" collapsed="false">
      <c r="A4" s="2" t="s">
        <v>24</v>
      </c>
      <c r="B4" s="3" t="n">
        <v>45717</v>
      </c>
      <c r="C4" s="2" t="s">
        <v>14</v>
      </c>
      <c r="D4" s="2" t="s">
        <v>20</v>
      </c>
      <c r="E4" s="2" t="s">
        <v>25</v>
      </c>
      <c r="F4" s="2" t="s">
        <v>26</v>
      </c>
      <c r="G4" s="2" t="s">
        <v>27</v>
      </c>
      <c r="H4" s="2" t="n">
        <v>8</v>
      </c>
      <c r="I4" s="4" t="n">
        <v>22000</v>
      </c>
      <c r="J4" s="2" t="n">
        <v>15</v>
      </c>
      <c r="K4" s="4" t="n">
        <f aca="false">H4*I4*(1-J4/100)</f>
        <v>149600</v>
      </c>
      <c r="L4" s="4" t="n">
        <f aca="false">K4*0.67</f>
        <v>100232</v>
      </c>
      <c r="M4" s="4" t="n">
        <f aca="false">K4-L4</f>
        <v>49368</v>
      </c>
    </row>
    <row r="5" customFormat="false" ht="15" hidden="false" customHeight="false" outlineLevel="0" collapsed="false">
      <c r="A5" s="0" t="s">
        <v>28</v>
      </c>
      <c r="B5" s="5" t="n">
        <v>45682</v>
      </c>
      <c r="C5" s="6" t="s">
        <v>29</v>
      </c>
      <c r="D5" s="6" t="s">
        <v>30</v>
      </c>
      <c r="E5" s="6" t="s">
        <v>21</v>
      </c>
      <c r="F5" s="6" t="s">
        <v>31</v>
      </c>
      <c r="G5" s="6" t="s">
        <v>32</v>
      </c>
      <c r="H5" s="0" t="n">
        <v>5</v>
      </c>
      <c r="I5" s="7" t="n">
        <v>62000</v>
      </c>
      <c r="J5" s="0" t="n">
        <v>5</v>
      </c>
      <c r="K5" s="7" t="n">
        <f aca="false">H5*I5*(1-J5/100)</f>
        <v>294500</v>
      </c>
      <c r="L5" s="7" t="n">
        <f aca="false">K5*0.74</f>
        <v>217930</v>
      </c>
      <c r="M5" s="7" t="n">
        <f aca="false">K5-L5</f>
        <v>76570</v>
      </c>
    </row>
    <row r="6" customFormat="false" ht="15" hidden="false" customHeight="false" outlineLevel="0" collapsed="false">
      <c r="A6" s="2" t="s">
        <v>33</v>
      </c>
      <c r="B6" s="3" t="n">
        <v>45692</v>
      </c>
      <c r="C6" s="2" t="s">
        <v>34</v>
      </c>
      <c r="D6" s="2" t="s">
        <v>15</v>
      </c>
      <c r="E6" s="2" t="s">
        <v>21</v>
      </c>
      <c r="F6" s="2" t="s">
        <v>22</v>
      </c>
      <c r="G6" s="2" t="s">
        <v>35</v>
      </c>
      <c r="H6" s="2" t="n">
        <v>12</v>
      </c>
      <c r="I6" s="4" t="n">
        <v>85000</v>
      </c>
      <c r="J6" s="2" t="n">
        <v>20</v>
      </c>
      <c r="K6" s="4" t="n">
        <f aca="false">H6*I6*(1-J6/100)</f>
        <v>816000</v>
      </c>
      <c r="L6" s="4" t="n">
        <f aca="false">K6*0.6</f>
        <v>489600</v>
      </c>
      <c r="M6" s="4" t="n">
        <f aca="false">K6-L6</f>
        <v>326400</v>
      </c>
    </row>
    <row r="7" customFormat="false" ht="15" hidden="false" customHeight="false" outlineLevel="0" collapsed="false">
      <c r="A7" s="0" t="s">
        <v>36</v>
      </c>
      <c r="B7" s="5" t="n">
        <v>45681</v>
      </c>
      <c r="C7" s="6" t="s">
        <v>29</v>
      </c>
      <c r="D7" s="6" t="s">
        <v>37</v>
      </c>
      <c r="E7" s="6" t="s">
        <v>38</v>
      </c>
      <c r="F7" s="6" t="s">
        <v>39</v>
      </c>
      <c r="G7" s="6" t="s">
        <v>27</v>
      </c>
      <c r="H7" s="0" t="n">
        <v>3</v>
      </c>
      <c r="I7" s="7" t="n">
        <v>1200</v>
      </c>
      <c r="J7" s="0" t="n">
        <v>20</v>
      </c>
      <c r="K7" s="7" t="n">
        <f aca="false">H7*I7*(1-J7/100)</f>
        <v>2880</v>
      </c>
      <c r="L7" s="7" t="n">
        <f aca="false">K7*0.61</f>
        <v>1756.8</v>
      </c>
      <c r="M7" s="7" t="n">
        <f aca="false">K7-L7</f>
        <v>1123.2</v>
      </c>
    </row>
    <row r="8" customFormat="false" ht="15" hidden="false" customHeight="false" outlineLevel="0" collapsed="false">
      <c r="A8" s="2" t="s">
        <v>40</v>
      </c>
      <c r="B8" s="3" t="n">
        <v>45736</v>
      </c>
      <c r="C8" s="2" t="s">
        <v>14</v>
      </c>
      <c r="D8" s="2" t="s">
        <v>41</v>
      </c>
      <c r="E8" s="2" t="s">
        <v>38</v>
      </c>
      <c r="F8" s="2" t="s">
        <v>42</v>
      </c>
      <c r="G8" s="2" t="s">
        <v>43</v>
      </c>
      <c r="H8" s="2" t="n">
        <v>2</v>
      </c>
      <c r="I8" s="4" t="n">
        <v>800</v>
      </c>
      <c r="J8" s="2" t="n">
        <v>5</v>
      </c>
      <c r="K8" s="4" t="n">
        <f aca="false">H8*I8*(1-J8/100)</f>
        <v>1520</v>
      </c>
      <c r="L8" s="4" t="n">
        <f aca="false">K8*0.7</f>
        <v>1064</v>
      </c>
      <c r="M8" s="4" t="n">
        <f aca="false">K8-L8</f>
        <v>456</v>
      </c>
    </row>
    <row r="9" customFormat="false" ht="15" hidden="false" customHeight="false" outlineLevel="0" collapsed="false">
      <c r="A9" s="0" t="s">
        <v>44</v>
      </c>
      <c r="B9" s="5" t="n">
        <v>45685</v>
      </c>
      <c r="C9" s="6" t="s">
        <v>29</v>
      </c>
      <c r="D9" s="6" t="s">
        <v>30</v>
      </c>
      <c r="E9" s="6" t="s">
        <v>45</v>
      </c>
      <c r="F9" s="6" t="s">
        <v>46</v>
      </c>
      <c r="G9" s="6" t="s">
        <v>32</v>
      </c>
      <c r="H9" s="0" t="n">
        <v>15</v>
      </c>
      <c r="I9" s="7" t="n">
        <v>900</v>
      </c>
      <c r="J9" s="0" t="n">
        <v>10</v>
      </c>
      <c r="K9" s="7" t="n">
        <f aca="false">H9*I9*(1-J9/100)</f>
        <v>12150</v>
      </c>
      <c r="L9" s="7" t="n">
        <f aca="false">K9*0.58</f>
        <v>7047</v>
      </c>
      <c r="M9" s="7" t="n">
        <f aca="false">K9-L9</f>
        <v>5103</v>
      </c>
    </row>
    <row r="10" customFormat="false" ht="15" hidden="false" customHeight="false" outlineLevel="0" collapsed="false">
      <c r="A10" s="2" t="s">
        <v>47</v>
      </c>
      <c r="B10" s="3" t="n">
        <v>45695</v>
      </c>
      <c r="C10" s="2" t="s">
        <v>34</v>
      </c>
      <c r="D10" s="2" t="s">
        <v>41</v>
      </c>
      <c r="E10" s="2" t="s">
        <v>45</v>
      </c>
      <c r="F10" s="2" t="s">
        <v>48</v>
      </c>
      <c r="G10" s="2" t="s">
        <v>49</v>
      </c>
      <c r="H10" s="2" t="n">
        <v>18</v>
      </c>
      <c r="I10" s="4" t="n">
        <v>700</v>
      </c>
      <c r="J10" s="2" t="n">
        <v>5</v>
      </c>
      <c r="K10" s="4" t="n">
        <f aca="false">H10*I10*(1-J10/100)</f>
        <v>11970</v>
      </c>
      <c r="L10" s="4" t="n">
        <f aca="false">K10*0.58</f>
        <v>6942.6</v>
      </c>
      <c r="M10" s="4" t="n">
        <f aca="false">K10-L10</f>
        <v>5027.4</v>
      </c>
    </row>
    <row r="11" customFormat="false" ht="15" hidden="false" customHeight="false" outlineLevel="0" collapsed="false">
      <c r="A11" s="0" t="s">
        <v>50</v>
      </c>
      <c r="B11" s="5" t="n">
        <v>45697</v>
      </c>
      <c r="C11" s="6" t="s">
        <v>34</v>
      </c>
      <c r="D11" s="6" t="s">
        <v>20</v>
      </c>
      <c r="E11" s="6" t="s">
        <v>25</v>
      </c>
      <c r="F11" s="6" t="s">
        <v>51</v>
      </c>
      <c r="G11" s="6" t="s">
        <v>23</v>
      </c>
      <c r="H11" s="0" t="n">
        <v>8</v>
      </c>
      <c r="I11" s="7" t="n">
        <v>8500</v>
      </c>
      <c r="J11" s="0" t="n">
        <v>0</v>
      </c>
      <c r="K11" s="7" t="n">
        <f aca="false">H11*I11*(1-J11/100)</f>
        <v>68000</v>
      </c>
      <c r="L11" s="7" t="n">
        <f aca="false">K11*0.71</f>
        <v>48280</v>
      </c>
      <c r="M11" s="7" t="n">
        <f aca="false">K11-L11</f>
        <v>19720</v>
      </c>
    </row>
    <row r="12" customFormat="false" ht="15" hidden="false" customHeight="false" outlineLevel="0" collapsed="false">
      <c r="A12" s="2" t="s">
        <v>52</v>
      </c>
      <c r="B12" s="3" t="n">
        <v>45697</v>
      </c>
      <c r="C12" s="2" t="s">
        <v>34</v>
      </c>
      <c r="D12" s="2" t="s">
        <v>15</v>
      </c>
      <c r="E12" s="2" t="s">
        <v>25</v>
      </c>
      <c r="F12" s="2" t="s">
        <v>26</v>
      </c>
      <c r="G12" s="2" t="s">
        <v>35</v>
      </c>
      <c r="H12" s="2" t="n">
        <v>7</v>
      </c>
      <c r="I12" s="4" t="n">
        <v>22000</v>
      </c>
      <c r="J12" s="2" t="n">
        <v>15</v>
      </c>
      <c r="K12" s="4" t="n">
        <f aca="false">H12*I12*(1-J12/100)</f>
        <v>130900</v>
      </c>
      <c r="L12" s="4" t="n">
        <f aca="false">K12*0.63</f>
        <v>82467</v>
      </c>
      <c r="M12" s="4" t="n">
        <f aca="false">K12-L12</f>
        <v>48433</v>
      </c>
    </row>
    <row r="13" customFormat="false" ht="15" hidden="false" customHeight="false" outlineLevel="0" collapsed="false">
      <c r="A13" s="0" t="s">
        <v>53</v>
      </c>
      <c r="B13" s="5" t="n">
        <v>45731</v>
      </c>
      <c r="C13" s="6" t="s">
        <v>14</v>
      </c>
      <c r="D13" s="6" t="s">
        <v>30</v>
      </c>
      <c r="E13" s="6" t="s">
        <v>16</v>
      </c>
      <c r="F13" s="6" t="s">
        <v>17</v>
      </c>
      <c r="G13" s="6" t="s">
        <v>18</v>
      </c>
      <c r="H13" s="0" t="n">
        <v>18</v>
      </c>
      <c r="I13" s="7" t="n">
        <v>1800</v>
      </c>
      <c r="J13" s="0" t="n">
        <v>20</v>
      </c>
      <c r="K13" s="7" t="n">
        <f aca="false">H13*I13*(1-J13/100)</f>
        <v>25920</v>
      </c>
      <c r="L13" s="7" t="n">
        <f aca="false">K13*0.6</f>
        <v>15552</v>
      </c>
      <c r="M13" s="7" t="n">
        <f aca="false">K13-L13</f>
        <v>10368</v>
      </c>
    </row>
    <row r="14" customFormat="false" ht="15" hidden="false" customHeight="false" outlineLevel="0" collapsed="false">
      <c r="A14" s="2" t="s">
        <v>54</v>
      </c>
      <c r="B14" s="3" t="n">
        <v>45730</v>
      </c>
      <c r="C14" s="2" t="s">
        <v>14</v>
      </c>
      <c r="D14" s="2" t="s">
        <v>20</v>
      </c>
      <c r="E14" s="2" t="s">
        <v>21</v>
      </c>
      <c r="F14" s="2" t="s">
        <v>31</v>
      </c>
      <c r="G14" s="2" t="s">
        <v>18</v>
      </c>
      <c r="H14" s="2" t="n">
        <v>5</v>
      </c>
      <c r="I14" s="4" t="n">
        <v>62000</v>
      </c>
      <c r="J14" s="2" t="n">
        <v>20</v>
      </c>
      <c r="K14" s="4" t="n">
        <f aca="false">H14*I14*(1-J14/100)</f>
        <v>248000</v>
      </c>
      <c r="L14" s="4" t="n">
        <f aca="false">K14*0.65</f>
        <v>161200</v>
      </c>
      <c r="M14" s="4" t="n">
        <f aca="false">K14-L14</f>
        <v>86800</v>
      </c>
    </row>
    <row r="15" customFormat="false" ht="15" hidden="false" customHeight="false" outlineLevel="0" collapsed="false">
      <c r="A15" s="0" t="s">
        <v>55</v>
      </c>
      <c r="B15" s="5" t="n">
        <v>45685</v>
      </c>
      <c r="C15" s="6" t="s">
        <v>29</v>
      </c>
      <c r="D15" s="6" t="s">
        <v>15</v>
      </c>
      <c r="E15" s="6" t="s">
        <v>25</v>
      </c>
      <c r="F15" s="6" t="s">
        <v>56</v>
      </c>
      <c r="G15" s="6" t="s">
        <v>27</v>
      </c>
      <c r="H15" s="0" t="n">
        <v>20</v>
      </c>
      <c r="I15" s="7" t="n">
        <v>120000</v>
      </c>
      <c r="J15" s="0" t="n">
        <v>0</v>
      </c>
      <c r="K15" s="7" t="n">
        <f aca="false">H15*I15*(1-J15/100)</f>
        <v>2400000</v>
      </c>
      <c r="L15" s="7" t="n">
        <f aca="false">K15*0.63</f>
        <v>1512000</v>
      </c>
      <c r="M15" s="7" t="n">
        <f aca="false">K15-L15</f>
        <v>888000</v>
      </c>
    </row>
    <row r="16" customFormat="false" ht="15" hidden="false" customHeight="false" outlineLevel="0" collapsed="false">
      <c r="A16" s="2" t="s">
        <v>57</v>
      </c>
      <c r="B16" s="3" t="n">
        <v>45731</v>
      </c>
      <c r="C16" s="2" t="s">
        <v>14</v>
      </c>
      <c r="D16" s="2" t="s">
        <v>20</v>
      </c>
      <c r="E16" s="2" t="s">
        <v>16</v>
      </c>
      <c r="F16" s="2" t="s">
        <v>58</v>
      </c>
      <c r="G16" s="2" t="s">
        <v>23</v>
      </c>
      <c r="H16" s="2" t="n">
        <v>4</v>
      </c>
      <c r="I16" s="4" t="n">
        <v>200</v>
      </c>
      <c r="J16" s="2" t="n">
        <v>20</v>
      </c>
      <c r="K16" s="4" t="n">
        <f aca="false">H16*I16*(1-J16/100)</f>
        <v>640</v>
      </c>
      <c r="L16" s="4" t="n">
        <f aca="false">K16*0.7</f>
        <v>448</v>
      </c>
      <c r="M16" s="4" t="n">
        <f aca="false">K16-L16</f>
        <v>192</v>
      </c>
    </row>
    <row r="17" customFormat="false" ht="15" hidden="false" customHeight="false" outlineLevel="0" collapsed="false">
      <c r="A17" s="0" t="s">
        <v>59</v>
      </c>
      <c r="B17" s="5" t="n">
        <v>45727</v>
      </c>
      <c r="C17" s="6" t="s">
        <v>14</v>
      </c>
      <c r="D17" s="6" t="s">
        <v>15</v>
      </c>
      <c r="E17" s="6" t="s">
        <v>16</v>
      </c>
      <c r="F17" s="6" t="s">
        <v>60</v>
      </c>
      <c r="G17" s="6" t="s">
        <v>49</v>
      </c>
      <c r="H17" s="0" t="n">
        <v>15</v>
      </c>
      <c r="I17" s="7" t="n">
        <v>650</v>
      </c>
      <c r="J17" s="0" t="n">
        <v>0</v>
      </c>
      <c r="K17" s="7" t="n">
        <f aca="false">H17*I17*(1-J17/100)</f>
        <v>9750</v>
      </c>
      <c r="L17" s="7" t="n">
        <f aca="false">K17*0.74</f>
        <v>7215</v>
      </c>
      <c r="M17" s="7" t="n">
        <f aca="false">K17-L17</f>
        <v>2535</v>
      </c>
    </row>
    <row r="18" customFormat="false" ht="15" hidden="false" customHeight="false" outlineLevel="0" collapsed="false">
      <c r="A18" s="2" t="s">
        <v>61</v>
      </c>
      <c r="B18" s="3" t="n">
        <v>45725</v>
      </c>
      <c r="C18" s="2" t="s">
        <v>14</v>
      </c>
      <c r="D18" s="2" t="s">
        <v>20</v>
      </c>
      <c r="E18" s="2" t="s">
        <v>25</v>
      </c>
      <c r="F18" s="2" t="s">
        <v>26</v>
      </c>
      <c r="G18" s="2" t="s">
        <v>43</v>
      </c>
      <c r="H18" s="2" t="n">
        <v>10</v>
      </c>
      <c r="I18" s="4" t="n">
        <v>22000</v>
      </c>
      <c r="J18" s="2" t="n">
        <v>20</v>
      </c>
      <c r="K18" s="4" t="n">
        <f aca="false">H18*I18*(1-J18/100)</f>
        <v>176000</v>
      </c>
      <c r="L18" s="4" t="n">
        <f aca="false">K18*0.67</f>
        <v>117920</v>
      </c>
      <c r="M18" s="4" t="n">
        <f aca="false">K18-L18</f>
        <v>58080</v>
      </c>
    </row>
    <row r="19" customFormat="false" ht="15" hidden="false" customHeight="false" outlineLevel="0" collapsed="false">
      <c r="A19" s="0" t="s">
        <v>62</v>
      </c>
      <c r="B19" s="5" t="n">
        <v>45669</v>
      </c>
      <c r="C19" s="6" t="s">
        <v>29</v>
      </c>
      <c r="D19" s="6" t="s">
        <v>30</v>
      </c>
      <c r="E19" s="6" t="s">
        <v>38</v>
      </c>
      <c r="F19" s="6" t="s">
        <v>63</v>
      </c>
      <c r="G19" s="6" t="s">
        <v>23</v>
      </c>
      <c r="H19" s="0" t="n">
        <v>20</v>
      </c>
      <c r="I19" s="7" t="n">
        <v>450</v>
      </c>
      <c r="J19" s="0" t="n">
        <v>10</v>
      </c>
      <c r="K19" s="7" t="n">
        <f aca="false">H19*I19*(1-J19/100)</f>
        <v>8100</v>
      </c>
      <c r="L19" s="7" t="n">
        <f aca="false">K19*0.65</f>
        <v>5265</v>
      </c>
      <c r="M19" s="7" t="n">
        <f aca="false">K19-L19</f>
        <v>2835</v>
      </c>
    </row>
    <row r="20" customFormat="false" ht="15" hidden="false" customHeight="false" outlineLevel="0" collapsed="false">
      <c r="A20" s="2" t="s">
        <v>64</v>
      </c>
      <c r="B20" s="3" t="n">
        <v>45669</v>
      </c>
      <c r="C20" s="2" t="s">
        <v>29</v>
      </c>
      <c r="D20" s="2" t="s">
        <v>41</v>
      </c>
      <c r="E20" s="2" t="s">
        <v>25</v>
      </c>
      <c r="F20" s="2" t="s">
        <v>65</v>
      </c>
      <c r="G20" s="2" t="s">
        <v>18</v>
      </c>
      <c r="H20" s="2" t="n">
        <v>19</v>
      </c>
      <c r="I20" s="4" t="n">
        <v>45000</v>
      </c>
      <c r="J20" s="2" t="n">
        <v>0</v>
      </c>
      <c r="K20" s="4" t="n">
        <f aca="false">H20*I20*(1-J20/100)</f>
        <v>855000</v>
      </c>
      <c r="L20" s="4" t="n">
        <f aca="false">K20*0.57</f>
        <v>487350</v>
      </c>
      <c r="M20" s="4" t="n">
        <f aca="false">K20-L20</f>
        <v>367650</v>
      </c>
    </row>
    <row r="21" customFormat="false" ht="15" hidden="false" customHeight="false" outlineLevel="0" collapsed="false">
      <c r="A21" s="0" t="s">
        <v>66</v>
      </c>
      <c r="B21" s="5" t="n">
        <v>45715</v>
      </c>
      <c r="C21" s="6" t="s">
        <v>34</v>
      </c>
      <c r="D21" s="6" t="s">
        <v>15</v>
      </c>
      <c r="E21" s="6" t="s">
        <v>38</v>
      </c>
      <c r="F21" s="6" t="s">
        <v>42</v>
      </c>
      <c r="G21" s="6" t="s">
        <v>49</v>
      </c>
      <c r="H21" s="0" t="n">
        <v>16</v>
      </c>
      <c r="I21" s="7" t="n">
        <v>800</v>
      </c>
      <c r="J21" s="0" t="n">
        <v>20</v>
      </c>
      <c r="K21" s="7" t="n">
        <f aca="false">H21*I21*(1-J21/100)</f>
        <v>10240</v>
      </c>
      <c r="L21" s="7" t="n">
        <f aca="false">K21*0.58</f>
        <v>5939.2</v>
      </c>
      <c r="M21" s="7" t="n">
        <f aca="false">K21-L21</f>
        <v>4300.8</v>
      </c>
    </row>
    <row r="22" customFormat="false" ht="15" hidden="false" customHeight="false" outlineLevel="0" collapsed="false">
      <c r="A22" s="2" t="s">
        <v>67</v>
      </c>
      <c r="B22" s="3" t="n">
        <v>45744</v>
      </c>
      <c r="C22" s="2" t="s">
        <v>14</v>
      </c>
      <c r="D22" s="2" t="s">
        <v>20</v>
      </c>
      <c r="E22" s="2" t="s">
        <v>21</v>
      </c>
      <c r="F22" s="2" t="s">
        <v>68</v>
      </c>
      <c r="G22" s="2" t="s">
        <v>69</v>
      </c>
      <c r="H22" s="2" t="n">
        <v>7</v>
      </c>
      <c r="I22" s="4" t="n">
        <v>45000</v>
      </c>
      <c r="J22" s="2" t="n">
        <v>10</v>
      </c>
      <c r="K22" s="4" t="n">
        <f aca="false">H22*I22*(1-J22/100)</f>
        <v>283500</v>
      </c>
      <c r="L22" s="4" t="n">
        <f aca="false">K22*0.63</f>
        <v>178605</v>
      </c>
      <c r="M22" s="4" t="n">
        <f aca="false">K22-L22</f>
        <v>104895</v>
      </c>
    </row>
    <row r="23" customFormat="false" ht="15" hidden="false" customHeight="false" outlineLevel="0" collapsed="false">
      <c r="A23" s="0" t="s">
        <v>70</v>
      </c>
      <c r="B23" s="5" t="n">
        <v>45737</v>
      </c>
      <c r="C23" s="6" t="s">
        <v>14</v>
      </c>
      <c r="D23" s="6" t="s">
        <v>41</v>
      </c>
      <c r="E23" s="6" t="s">
        <v>21</v>
      </c>
      <c r="F23" s="6" t="s">
        <v>71</v>
      </c>
      <c r="G23" s="6" t="s">
        <v>72</v>
      </c>
      <c r="H23" s="0" t="n">
        <v>4</v>
      </c>
      <c r="I23" s="7" t="n">
        <v>12000</v>
      </c>
      <c r="J23" s="0" t="n">
        <v>5</v>
      </c>
      <c r="K23" s="7" t="n">
        <f aca="false">H23*I23*(1-J23/100)</f>
        <v>45600</v>
      </c>
      <c r="L23" s="7" t="n">
        <f aca="false">K23*0.59</f>
        <v>26904</v>
      </c>
      <c r="M23" s="7" t="n">
        <f aca="false">K23-L23</f>
        <v>18696</v>
      </c>
    </row>
    <row r="24" customFormat="false" ht="15" hidden="false" customHeight="false" outlineLevel="0" collapsed="false">
      <c r="A24" s="2" t="s">
        <v>73</v>
      </c>
      <c r="B24" s="3" t="n">
        <v>45689</v>
      </c>
      <c r="C24" s="2" t="s">
        <v>34</v>
      </c>
      <c r="D24" s="2" t="s">
        <v>20</v>
      </c>
      <c r="E24" s="2" t="s">
        <v>38</v>
      </c>
      <c r="F24" s="2" t="s">
        <v>42</v>
      </c>
      <c r="G24" s="2" t="s">
        <v>74</v>
      </c>
      <c r="H24" s="2" t="n">
        <v>8</v>
      </c>
      <c r="I24" s="4" t="n">
        <v>800</v>
      </c>
      <c r="J24" s="2" t="n">
        <v>0</v>
      </c>
      <c r="K24" s="4" t="n">
        <f aca="false">H24*I24*(1-J24/100)</f>
        <v>6400</v>
      </c>
      <c r="L24" s="4" t="n">
        <f aca="false">K24*0.56</f>
        <v>3584</v>
      </c>
      <c r="M24" s="4" t="n">
        <f aca="false">K24-L24</f>
        <v>2816</v>
      </c>
    </row>
    <row r="25" customFormat="false" ht="15" hidden="false" customHeight="false" outlineLevel="0" collapsed="false">
      <c r="A25" s="0" t="s">
        <v>75</v>
      </c>
      <c r="B25" s="5" t="n">
        <v>45718</v>
      </c>
      <c r="C25" s="6" t="s">
        <v>14</v>
      </c>
      <c r="D25" s="6" t="s">
        <v>30</v>
      </c>
      <c r="E25" s="6" t="s">
        <v>45</v>
      </c>
      <c r="F25" s="6" t="s">
        <v>76</v>
      </c>
      <c r="G25" s="6" t="s">
        <v>35</v>
      </c>
      <c r="H25" s="0" t="n">
        <v>3</v>
      </c>
      <c r="I25" s="7" t="n">
        <v>2500</v>
      </c>
      <c r="J25" s="0" t="n">
        <v>20</v>
      </c>
      <c r="K25" s="7" t="n">
        <f aca="false">H25*I25*(1-J25/100)</f>
        <v>6000</v>
      </c>
      <c r="L25" s="7" t="n">
        <f aca="false">K25*0.6</f>
        <v>3600</v>
      </c>
      <c r="M25" s="7" t="n">
        <f aca="false">K25-L25</f>
        <v>2400</v>
      </c>
    </row>
    <row r="26" customFormat="false" ht="15" hidden="false" customHeight="false" outlineLevel="0" collapsed="false">
      <c r="A26" s="2" t="s">
        <v>77</v>
      </c>
      <c r="B26" s="3" t="n">
        <v>45732</v>
      </c>
      <c r="C26" s="2" t="s">
        <v>14</v>
      </c>
      <c r="D26" s="2" t="s">
        <v>30</v>
      </c>
      <c r="E26" s="2" t="s">
        <v>38</v>
      </c>
      <c r="F26" s="2" t="s">
        <v>42</v>
      </c>
      <c r="G26" s="2" t="s">
        <v>74</v>
      </c>
      <c r="H26" s="2" t="n">
        <v>19</v>
      </c>
      <c r="I26" s="4" t="n">
        <v>800</v>
      </c>
      <c r="J26" s="2" t="n">
        <v>15</v>
      </c>
      <c r="K26" s="4" t="n">
        <f aca="false">H26*I26*(1-J26/100)</f>
        <v>12920</v>
      </c>
      <c r="L26" s="4" t="n">
        <f aca="false">K26*0.6</f>
        <v>7752</v>
      </c>
      <c r="M26" s="4" t="n">
        <f aca="false">K26-L26</f>
        <v>5168</v>
      </c>
    </row>
    <row r="27" customFormat="false" ht="15" hidden="false" customHeight="false" outlineLevel="0" collapsed="false">
      <c r="A27" s="0" t="s">
        <v>78</v>
      </c>
      <c r="B27" s="5" t="n">
        <v>45714</v>
      </c>
      <c r="C27" s="6" t="s">
        <v>34</v>
      </c>
      <c r="D27" s="6" t="s">
        <v>37</v>
      </c>
      <c r="E27" s="6" t="s">
        <v>25</v>
      </c>
      <c r="F27" s="6" t="s">
        <v>65</v>
      </c>
      <c r="G27" s="6" t="s">
        <v>43</v>
      </c>
      <c r="H27" s="0" t="n">
        <v>14</v>
      </c>
      <c r="I27" s="7" t="n">
        <v>45000</v>
      </c>
      <c r="J27" s="0" t="n">
        <v>10</v>
      </c>
      <c r="K27" s="7" t="n">
        <f aca="false">H27*I27*(1-J27/100)</f>
        <v>567000</v>
      </c>
      <c r="L27" s="7" t="n">
        <f aca="false">K27*0.63</f>
        <v>357210</v>
      </c>
      <c r="M27" s="7" t="n">
        <f aca="false">K27-L27</f>
        <v>209790</v>
      </c>
    </row>
    <row r="28" customFormat="false" ht="15" hidden="false" customHeight="false" outlineLevel="0" collapsed="false">
      <c r="A28" s="2" t="s">
        <v>79</v>
      </c>
      <c r="B28" s="3" t="n">
        <v>45716</v>
      </c>
      <c r="C28" s="2" t="s">
        <v>34</v>
      </c>
      <c r="D28" s="2" t="s">
        <v>15</v>
      </c>
      <c r="E28" s="2" t="s">
        <v>45</v>
      </c>
      <c r="F28" s="2" t="s">
        <v>76</v>
      </c>
      <c r="G28" s="2" t="s">
        <v>27</v>
      </c>
      <c r="H28" s="2" t="n">
        <v>11</v>
      </c>
      <c r="I28" s="4" t="n">
        <v>2500</v>
      </c>
      <c r="J28" s="2" t="n">
        <v>0</v>
      </c>
      <c r="K28" s="4" t="n">
        <f aca="false">H28*I28*(1-J28/100)</f>
        <v>27500</v>
      </c>
      <c r="L28" s="4" t="n">
        <f aca="false">K28*0.6</f>
        <v>16500</v>
      </c>
      <c r="M28" s="4" t="n">
        <f aca="false">K28-L28</f>
        <v>11000</v>
      </c>
    </row>
    <row r="29" customFormat="false" ht="15" hidden="false" customHeight="false" outlineLevel="0" collapsed="false">
      <c r="A29" s="0" t="s">
        <v>80</v>
      </c>
      <c r="B29" s="5" t="n">
        <v>45675</v>
      </c>
      <c r="C29" s="6" t="s">
        <v>29</v>
      </c>
      <c r="D29" s="6" t="s">
        <v>37</v>
      </c>
      <c r="E29" s="6" t="s">
        <v>25</v>
      </c>
      <c r="F29" s="6" t="s">
        <v>81</v>
      </c>
      <c r="G29" s="6" t="s">
        <v>49</v>
      </c>
      <c r="H29" s="0" t="n">
        <v>9</v>
      </c>
      <c r="I29" s="7" t="n">
        <v>1500</v>
      </c>
      <c r="J29" s="0" t="n">
        <v>15</v>
      </c>
      <c r="K29" s="7" t="n">
        <f aca="false">H29*I29*(1-J29/100)</f>
        <v>11475</v>
      </c>
      <c r="L29" s="7" t="n">
        <f aca="false">K29*0.6</f>
        <v>6885</v>
      </c>
      <c r="M29" s="7" t="n">
        <f aca="false">K29-L29</f>
        <v>4590</v>
      </c>
    </row>
    <row r="30" customFormat="false" ht="15" hidden="false" customHeight="false" outlineLevel="0" collapsed="false">
      <c r="A30" s="2" t="s">
        <v>82</v>
      </c>
      <c r="B30" s="3" t="n">
        <v>45672</v>
      </c>
      <c r="C30" s="2" t="s">
        <v>29</v>
      </c>
      <c r="D30" s="2" t="s">
        <v>20</v>
      </c>
      <c r="E30" s="2" t="s">
        <v>45</v>
      </c>
      <c r="F30" s="2" t="s">
        <v>76</v>
      </c>
      <c r="G30" s="2" t="s">
        <v>69</v>
      </c>
      <c r="H30" s="2" t="n">
        <v>1</v>
      </c>
      <c r="I30" s="4" t="n">
        <v>2500</v>
      </c>
      <c r="J30" s="2" t="n">
        <v>0</v>
      </c>
      <c r="K30" s="4" t="n">
        <f aca="false">H30*I30*(1-J30/100)</f>
        <v>2500</v>
      </c>
      <c r="L30" s="4" t="n">
        <f aca="false">K30*0.74</f>
        <v>1850</v>
      </c>
      <c r="M30" s="4" t="n">
        <f aca="false">K30-L30</f>
        <v>650</v>
      </c>
    </row>
    <row r="31" customFormat="false" ht="15" hidden="false" customHeight="false" outlineLevel="0" collapsed="false">
      <c r="A31" s="0" t="s">
        <v>83</v>
      </c>
      <c r="B31" s="5" t="n">
        <v>45663</v>
      </c>
      <c r="C31" s="6" t="s">
        <v>29</v>
      </c>
      <c r="D31" s="6" t="s">
        <v>37</v>
      </c>
      <c r="E31" s="6" t="s">
        <v>21</v>
      </c>
      <c r="F31" s="6" t="s">
        <v>84</v>
      </c>
      <c r="G31" s="6" t="s">
        <v>18</v>
      </c>
      <c r="H31" s="0" t="n">
        <v>13</v>
      </c>
      <c r="I31" s="7" t="n">
        <v>38000</v>
      </c>
      <c r="J31" s="0" t="n">
        <v>0</v>
      </c>
      <c r="K31" s="7" t="n">
        <f aca="false">H31*I31*(1-J31/100)</f>
        <v>494000</v>
      </c>
      <c r="L31" s="7" t="n">
        <f aca="false">K31*0.58</f>
        <v>286520</v>
      </c>
      <c r="M31" s="7" t="n">
        <f aca="false">K31-L31</f>
        <v>207480</v>
      </c>
    </row>
    <row r="32" customFormat="false" ht="15" hidden="false" customHeight="false" outlineLevel="0" collapsed="false">
      <c r="A32" s="2" t="s">
        <v>85</v>
      </c>
      <c r="B32" s="3" t="n">
        <v>45670</v>
      </c>
      <c r="C32" s="2" t="s">
        <v>29</v>
      </c>
      <c r="D32" s="2" t="s">
        <v>41</v>
      </c>
      <c r="E32" s="2" t="s">
        <v>21</v>
      </c>
      <c r="F32" s="2" t="s">
        <v>31</v>
      </c>
      <c r="G32" s="2" t="s">
        <v>27</v>
      </c>
      <c r="H32" s="2" t="n">
        <v>18</v>
      </c>
      <c r="I32" s="4" t="n">
        <v>62000</v>
      </c>
      <c r="J32" s="2" t="n">
        <v>15</v>
      </c>
      <c r="K32" s="4" t="n">
        <f aca="false">H32*I32*(1-J32/100)</f>
        <v>948600</v>
      </c>
      <c r="L32" s="4" t="n">
        <f aca="false">K32*0.58</f>
        <v>550188</v>
      </c>
      <c r="M32" s="4" t="n">
        <f aca="false">K32-L32</f>
        <v>398412</v>
      </c>
    </row>
    <row r="33" customFormat="false" ht="15" hidden="false" customHeight="false" outlineLevel="0" collapsed="false">
      <c r="A33" s="0" t="s">
        <v>86</v>
      </c>
      <c r="B33" s="5" t="n">
        <v>45695</v>
      </c>
      <c r="C33" s="6" t="s">
        <v>34</v>
      </c>
      <c r="D33" s="6" t="s">
        <v>15</v>
      </c>
      <c r="E33" s="6" t="s">
        <v>38</v>
      </c>
      <c r="F33" s="6" t="s">
        <v>63</v>
      </c>
      <c r="G33" s="6" t="s">
        <v>23</v>
      </c>
      <c r="H33" s="0" t="n">
        <v>11</v>
      </c>
      <c r="I33" s="7" t="n">
        <v>450</v>
      </c>
      <c r="J33" s="0" t="n">
        <v>0</v>
      </c>
      <c r="K33" s="7" t="n">
        <f aca="false">H33*I33*(1-J33/100)</f>
        <v>4950</v>
      </c>
      <c r="L33" s="7" t="n">
        <f aca="false">K33*0.56</f>
        <v>2772</v>
      </c>
      <c r="M33" s="7" t="n">
        <f aca="false">K33-L33</f>
        <v>2178</v>
      </c>
    </row>
    <row r="34" customFormat="false" ht="15" hidden="false" customHeight="false" outlineLevel="0" collapsed="false">
      <c r="A34" s="2" t="s">
        <v>87</v>
      </c>
      <c r="B34" s="3" t="n">
        <v>45705</v>
      </c>
      <c r="C34" s="2" t="s">
        <v>34</v>
      </c>
      <c r="D34" s="2" t="s">
        <v>20</v>
      </c>
      <c r="E34" s="2" t="s">
        <v>25</v>
      </c>
      <c r="F34" s="2" t="s">
        <v>65</v>
      </c>
      <c r="G34" s="2" t="s">
        <v>69</v>
      </c>
      <c r="H34" s="2" t="n">
        <v>3</v>
      </c>
      <c r="I34" s="4" t="n">
        <v>45000</v>
      </c>
      <c r="J34" s="2" t="n">
        <v>5</v>
      </c>
      <c r="K34" s="4" t="n">
        <f aca="false">H34*I34*(1-J34/100)</f>
        <v>128250</v>
      </c>
      <c r="L34" s="4" t="n">
        <f aca="false">K34*0.56</f>
        <v>71820</v>
      </c>
      <c r="M34" s="4" t="n">
        <f aca="false">K34-L34</f>
        <v>56430</v>
      </c>
    </row>
    <row r="35" customFormat="false" ht="15" hidden="false" customHeight="false" outlineLevel="0" collapsed="false">
      <c r="A35" s="0" t="s">
        <v>88</v>
      </c>
      <c r="B35" s="5" t="n">
        <v>45679</v>
      </c>
      <c r="C35" s="6" t="s">
        <v>29</v>
      </c>
      <c r="D35" s="6" t="s">
        <v>30</v>
      </c>
      <c r="E35" s="6" t="s">
        <v>21</v>
      </c>
      <c r="F35" s="6" t="s">
        <v>22</v>
      </c>
      <c r="G35" s="6" t="s">
        <v>74</v>
      </c>
      <c r="H35" s="0" t="n">
        <v>8</v>
      </c>
      <c r="I35" s="7" t="n">
        <v>85000</v>
      </c>
      <c r="J35" s="0" t="n">
        <v>20</v>
      </c>
      <c r="K35" s="7" t="n">
        <f aca="false">H35*I35*(1-J35/100)</f>
        <v>544000</v>
      </c>
      <c r="L35" s="7" t="n">
        <f aca="false">K35*0.67</f>
        <v>364480</v>
      </c>
      <c r="M35" s="7" t="n">
        <f aca="false">K35-L35</f>
        <v>179520</v>
      </c>
    </row>
    <row r="36" customFormat="false" ht="15" hidden="false" customHeight="false" outlineLevel="0" collapsed="false">
      <c r="A36" s="2" t="s">
        <v>89</v>
      </c>
      <c r="B36" s="3" t="n">
        <v>45719</v>
      </c>
      <c r="C36" s="2" t="s">
        <v>14</v>
      </c>
      <c r="D36" s="2" t="s">
        <v>37</v>
      </c>
      <c r="E36" s="2" t="s">
        <v>38</v>
      </c>
      <c r="F36" s="2" t="s">
        <v>63</v>
      </c>
      <c r="G36" s="2" t="s">
        <v>69</v>
      </c>
      <c r="H36" s="2" t="n">
        <v>11</v>
      </c>
      <c r="I36" s="4" t="n">
        <v>450</v>
      </c>
      <c r="J36" s="2" t="n">
        <v>10</v>
      </c>
      <c r="K36" s="4" t="n">
        <f aca="false">H36*I36*(1-J36/100)</f>
        <v>4455</v>
      </c>
      <c r="L36" s="4" t="n">
        <f aca="false">K36*0.59</f>
        <v>2628.45</v>
      </c>
      <c r="M36" s="4" t="n">
        <f aca="false">K36-L36</f>
        <v>1826.55</v>
      </c>
    </row>
    <row r="37" customFormat="false" ht="15" hidden="false" customHeight="false" outlineLevel="0" collapsed="false">
      <c r="A37" s="0" t="s">
        <v>90</v>
      </c>
      <c r="B37" s="5" t="n">
        <v>45727</v>
      </c>
      <c r="C37" s="6" t="s">
        <v>14</v>
      </c>
      <c r="D37" s="6" t="s">
        <v>30</v>
      </c>
      <c r="E37" s="6" t="s">
        <v>16</v>
      </c>
      <c r="F37" s="6" t="s">
        <v>60</v>
      </c>
      <c r="G37" s="6" t="s">
        <v>49</v>
      </c>
      <c r="H37" s="0" t="n">
        <v>10</v>
      </c>
      <c r="I37" s="7" t="n">
        <v>650</v>
      </c>
      <c r="J37" s="0" t="n">
        <v>15</v>
      </c>
      <c r="K37" s="7" t="n">
        <f aca="false">H37*I37*(1-J37/100)</f>
        <v>5525</v>
      </c>
      <c r="L37" s="7" t="n">
        <f aca="false">K37*0.61</f>
        <v>3370.25</v>
      </c>
      <c r="M37" s="7" t="n">
        <f aca="false">K37-L37</f>
        <v>2154.75</v>
      </c>
    </row>
    <row r="38" customFormat="false" ht="15" hidden="false" customHeight="false" outlineLevel="0" collapsed="false">
      <c r="A38" s="2" t="s">
        <v>91</v>
      </c>
      <c r="B38" s="3" t="n">
        <v>45658</v>
      </c>
      <c r="C38" s="2" t="s">
        <v>29</v>
      </c>
      <c r="D38" s="2" t="s">
        <v>37</v>
      </c>
      <c r="E38" s="2" t="s">
        <v>38</v>
      </c>
      <c r="F38" s="2" t="s">
        <v>63</v>
      </c>
      <c r="G38" s="2" t="s">
        <v>43</v>
      </c>
      <c r="H38" s="2" t="n">
        <v>3</v>
      </c>
      <c r="I38" s="4" t="n">
        <v>450</v>
      </c>
      <c r="J38" s="2" t="n">
        <v>20</v>
      </c>
      <c r="K38" s="4" t="n">
        <f aca="false">H38*I38*(1-J38/100)</f>
        <v>1080</v>
      </c>
      <c r="L38" s="4" t="n">
        <f aca="false">K38*0.59</f>
        <v>637.2</v>
      </c>
      <c r="M38" s="4" t="n">
        <f aca="false">K38-L38</f>
        <v>442.8</v>
      </c>
    </row>
    <row r="39" customFormat="false" ht="15" hidden="false" customHeight="false" outlineLevel="0" collapsed="false">
      <c r="A39" s="0" t="s">
        <v>92</v>
      </c>
      <c r="B39" s="5" t="n">
        <v>45693</v>
      </c>
      <c r="C39" s="6" t="s">
        <v>34</v>
      </c>
      <c r="D39" s="6" t="s">
        <v>41</v>
      </c>
      <c r="E39" s="6" t="s">
        <v>45</v>
      </c>
      <c r="F39" s="6" t="s">
        <v>93</v>
      </c>
      <c r="G39" s="6" t="s">
        <v>35</v>
      </c>
      <c r="H39" s="0" t="n">
        <v>10</v>
      </c>
      <c r="I39" s="7" t="n">
        <v>1800</v>
      </c>
      <c r="J39" s="0" t="n">
        <v>5</v>
      </c>
      <c r="K39" s="7" t="n">
        <f aca="false">H39*I39*(1-J39/100)</f>
        <v>17100</v>
      </c>
      <c r="L39" s="7" t="n">
        <f aca="false">K39*0.64</f>
        <v>10944</v>
      </c>
      <c r="M39" s="7" t="n">
        <f aca="false">K39-L39</f>
        <v>6156</v>
      </c>
    </row>
    <row r="40" customFormat="false" ht="15" hidden="false" customHeight="false" outlineLevel="0" collapsed="false">
      <c r="A40" s="2" t="s">
        <v>94</v>
      </c>
      <c r="B40" s="3" t="n">
        <v>45739</v>
      </c>
      <c r="C40" s="2" t="s">
        <v>14</v>
      </c>
      <c r="D40" s="2" t="s">
        <v>41</v>
      </c>
      <c r="E40" s="2" t="s">
        <v>38</v>
      </c>
      <c r="F40" s="2" t="s">
        <v>63</v>
      </c>
      <c r="G40" s="2" t="s">
        <v>23</v>
      </c>
      <c r="H40" s="2" t="n">
        <v>18</v>
      </c>
      <c r="I40" s="4" t="n">
        <v>450</v>
      </c>
      <c r="J40" s="2" t="n">
        <v>10</v>
      </c>
      <c r="K40" s="4" t="n">
        <f aca="false">H40*I40*(1-J40/100)</f>
        <v>7290</v>
      </c>
      <c r="L40" s="4" t="n">
        <f aca="false">K40*0.74</f>
        <v>5394.6</v>
      </c>
      <c r="M40" s="4" t="n">
        <f aca="false">K40-L40</f>
        <v>1895.4</v>
      </c>
    </row>
    <row r="41" customFormat="false" ht="15" hidden="false" customHeight="false" outlineLevel="0" collapsed="false">
      <c r="A41" s="0" t="s">
        <v>95</v>
      </c>
      <c r="B41" s="5" t="n">
        <v>45662</v>
      </c>
      <c r="C41" s="6" t="s">
        <v>29</v>
      </c>
      <c r="D41" s="6" t="s">
        <v>41</v>
      </c>
      <c r="E41" s="6" t="s">
        <v>45</v>
      </c>
      <c r="F41" s="6" t="s">
        <v>76</v>
      </c>
      <c r="G41" s="6" t="s">
        <v>69</v>
      </c>
      <c r="H41" s="0" t="n">
        <v>5</v>
      </c>
      <c r="I41" s="7" t="n">
        <v>2500</v>
      </c>
      <c r="J41" s="0" t="n">
        <v>10</v>
      </c>
      <c r="K41" s="7" t="n">
        <f aca="false">H41*I41*(1-J41/100)</f>
        <v>11250</v>
      </c>
      <c r="L41" s="7" t="n">
        <f aca="false">K41*0.61</f>
        <v>6862.5</v>
      </c>
      <c r="M41" s="7" t="n">
        <f aca="false">K41-L41</f>
        <v>4387.5</v>
      </c>
    </row>
    <row r="42" customFormat="false" ht="15" hidden="false" customHeight="false" outlineLevel="0" collapsed="false">
      <c r="A42" s="2" t="s">
        <v>96</v>
      </c>
      <c r="B42" s="3" t="n">
        <v>45680</v>
      </c>
      <c r="C42" s="2" t="s">
        <v>29</v>
      </c>
      <c r="D42" s="2" t="s">
        <v>41</v>
      </c>
      <c r="E42" s="2" t="s">
        <v>25</v>
      </c>
      <c r="F42" s="2" t="s">
        <v>51</v>
      </c>
      <c r="G42" s="2" t="s">
        <v>69</v>
      </c>
      <c r="H42" s="2" t="n">
        <v>16</v>
      </c>
      <c r="I42" s="4" t="n">
        <v>8500</v>
      </c>
      <c r="J42" s="2" t="n">
        <v>10</v>
      </c>
      <c r="K42" s="4" t="n">
        <f aca="false">H42*I42*(1-J42/100)</f>
        <v>122400</v>
      </c>
      <c r="L42" s="4" t="n">
        <f aca="false">K42*0.73</f>
        <v>89352</v>
      </c>
      <c r="M42" s="4" t="n">
        <f aca="false">K42-L42</f>
        <v>33048</v>
      </c>
    </row>
    <row r="43" customFormat="false" ht="15" hidden="false" customHeight="false" outlineLevel="0" collapsed="false">
      <c r="A43" s="0" t="s">
        <v>97</v>
      </c>
      <c r="B43" s="5" t="n">
        <v>45660</v>
      </c>
      <c r="C43" s="6" t="s">
        <v>29</v>
      </c>
      <c r="D43" s="6" t="s">
        <v>37</v>
      </c>
      <c r="E43" s="6" t="s">
        <v>16</v>
      </c>
      <c r="F43" s="6" t="s">
        <v>98</v>
      </c>
      <c r="G43" s="6" t="s">
        <v>23</v>
      </c>
      <c r="H43" s="0" t="n">
        <v>11</v>
      </c>
      <c r="I43" s="7" t="n">
        <v>350</v>
      </c>
      <c r="J43" s="0" t="n">
        <v>5</v>
      </c>
      <c r="K43" s="7" t="n">
        <f aca="false">H43*I43*(1-J43/100)</f>
        <v>3657.5</v>
      </c>
      <c r="L43" s="7" t="n">
        <f aca="false">K43*0.68</f>
        <v>2487.1</v>
      </c>
      <c r="M43" s="7" t="n">
        <f aca="false">K43-L43</f>
        <v>1170.4</v>
      </c>
    </row>
    <row r="44" customFormat="false" ht="15" hidden="false" customHeight="false" outlineLevel="0" collapsed="false">
      <c r="A44" s="2" t="s">
        <v>99</v>
      </c>
      <c r="B44" s="3" t="n">
        <v>45694</v>
      </c>
      <c r="C44" s="2" t="s">
        <v>34</v>
      </c>
      <c r="D44" s="2" t="s">
        <v>37</v>
      </c>
      <c r="E44" s="2" t="s">
        <v>38</v>
      </c>
      <c r="F44" s="2" t="s">
        <v>100</v>
      </c>
      <c r="G44" s="2" t="s">
        <v>69</v>
      </c>
      <c r="H44" s="2" t="n">
        <v>1</v>
      </c>
      <c r="I44" s="4" t="n">
        <v>650</v>
      </c>
      <c r="J44" s="2" t="n">
        <v>0</v>
      </c>
      <c r="K44" s="4" t="n">
        <f aca="false">H44*I44*(1-J44/100)</f>
        <v>650</v>
      </c>
      <c r="L44" s="4" t="n">
        <f aca="false">K44*0.57</f>
        <v>370.5</v>
      </c>
      <c r="M44" s="4" t="n">
        <f aca="false">K44-L44</f>
        <v>279.5</v>
      </c>
    </row>
    <row r="45" customFormat="false" ht="15" hidden="false" customHeight="false" outlineLevel="0" collapsed="false">
      <c r="A45" s="0" t="s">
        <v>101</v>
      </c>
      <c r="B45" s="5" t="n">
        <v>45721</v>
      </c>
      <c r="C45" s="6" t="s">
        <v>14</v>
      </c>
      <c r="D45" s="6" t="s">
        <v>20</v>
      </c>
      <c r="E45" s="6" t="s">
        <v>45</v>
      </c>
      <c r="F45" s="6" t="s">
        <v>102</v>
      </c>
      <c r="G45" s="6" t="s">
        <v>74</v>
      </c>
      <c r="H45" s="0" t="n">
        <v>18</v>
      </c>
      <c r="I45" s="7" t="n">
        <v>3200</v>
      </c>
      <c r="J45" s="0" t="n">
        <v>5</v>
      </c>
      <c r="K45" s="7" t="n">
        <f aca="false">H45*I45*(1-J45/100)</f>
        <v>54720</v>
      </c>
      <c r="L45" s="7" t="n">
        <f aca="false">K45*0.64</f>
        <v>35020.8</v>
      </c>
      <c r="M45" s="7" t="n">
        <f aca="false">K45-L45</f>
        <v>19699.2</v>
      </c>
    </row>
    <row r="46" customFormat="false" ht="15" hidden="false" customHeight="false" outlineLevel="0" collapsed="false">
      <c r="A46" s="2" t="s">
        <v>103</v>
      </c>
      <c r="B46" s="3" t="n">
        <v>45667</v>
      </c>
      <c r="C46" s="2" t="s">
        <v>29</v>
      </c>
      <c r="D46" s="2" t="s">
        <v>41</v>
      </c>
      <c r="E46" s="2" t="s">
        <v>45</v>
      </c>
      <c r="F46" s="2" t="s">
        <v>102</v>
      </c>
      <c r="G46" s="2" t="s">
        <v>18</v>
      </c>
      <c r="H46" s="2" t="n">
        <v>8</v>
      </c>
      <c r="I46" s="4" t="n">
        <v>3200</v>
      </c>
      <c r="J46" s="2" t="n">
        <v>0</v>
      </c>
      <c r="K46" s="4" t="n">
        <f aca="false">H46*I46*(1-J46/100)</f>
        <v>25600</v>
      </c>
      <c r="L46" s="4" t="n">
        <f aca="false">K46*0.62</f>
        <v>15872</v>
      </c>
      <c r="M46" s="4" t="n">
        <f aca="false">K46-L46</f>
        <v>9728</v>
      </c>
    </row>
    <row r="47" customFormat="false" ht="15" hidden="false" customHeight="false" outlineLevel="0" collapsed="false">
      <c r="A47" s="0" t="s">
        <v>104</v>
      </c>
      <c r="B47" s="5" t="n">
        <v>45744</v>
      </c>
      <c r="C47" s="6" t="s">
        <v>14</v>
      </c>
      <c r="D47" s="6" t="s">
        <v>37</v>
      </c>
      <c r="E47" s="6" t="s">
        <v>38</v>
      </c>
      <c r="F47" s="6" t="s">
        <v>42</v>
      </c>
      <c r="G47" s="6" t="s">
        <v>18</v>
      </c>
      <c r="H47" s="0" t="n">
        <v>6</v>
      </c>
      <c r="I47" s="7" t="n">
        <v>800</v>
      </c>
      <c r="J47" s="0" t="n">
        <v>5</v>
      </c>
      <c r="K47" s="7" t="n">
        <f aca="false">H47*I47*(1-J47/100)</f>
        <v>4560</v>
      </c>
      <c r="L47" s="7" t="n">
        <f aca="false">K47*0.73</f>
        <v>3328.8</v>
      </c>
      <c r="M47" s="7" t="n">
        <f aca="false">K47-L47</f>
        <v>1231.2</v>
      </c>
    </row>
    <row r="48" customFormat="false" ht="15" hidden="false" customHeight="false" outlineLevel="0" collapsed="false">
      <c r="A48" s="2" t="s">
        <v>105</v>
      </c>
      <c r="B48" s="3" t="n">
        <v>45663</v>
      </c>
      <c r="C48" s="2" t="s">
        <v>29</v>
      </c>
      <c r="D48" s="2" t="s">
        <v>41</v>
      </c>
      <c r="E48" s="2" t="s">
        <v>21</v>
      </c>
      <c r="F48" s="2" t="s">
        <v>68</v>
      </c>
      <c r="G48" s="2" t="s">
        <v>32</v>
      </c>
      <c r="H48" s="2" t="n">
        <v>6</v>
      </c>
      <c r="I48" s="4" t="n">
        <v>45000</v>
      </c>
      <c r="J48" s="2" t="n">
        <v>0</v>
      </c>
      <c r="K48" s="4" t="n">
        <f aca="false">H48*I48*(1-J48/100)</f>
        <v>270000</v>
      </c>
      <c r="L48" s="4" t="n">
        <f aca="false">K48*0.63</f>
        <v>170100</v>
      </c>
      <c r="M48" s="4" t="n">
        <f aca="false">K48-L48</f>
        <v>99900</v>
      </c>
    </row>
    <row r="49" customFormat="false" ht="15" hidden="false" customHeight="false" outlineLevel="0" collapsed="false">
      <c r="A49" s="0" t="s">
        <v>106</v>
      </c>
      <c r="B49" s="5" t="n">
        <v>45685</v>
      </c>
      <c r="C49" s="6" t="s">
        <v>29</v>
      </c>
      <c r="D49" s="6" t="s">
        <v>37</v>
      </c>
      <c r="E49" s="6" t="s">
        <v>25</v>
      </c>
      <c r="F49" s="6" t="s">
        <v>56</v>
      </c>
      <c r="G49" s="6" t="s">
        <v>72</v>
      </c>
      <c r="H49" s="0" t="n">
        <v>12</v>
      </c>
      <c r="I49" s="7" t="n">
        <v>120000</v>
      </c>
      <c r="J49" s="0" t="n">
        <v>10</v>
      </c>
      <c r="K49" s="7" t="n">
        <f aca="false">H49*I49*(1-J49/100)</f>
        <v>1296000</v>
      </c>
      <c r="L49" s="7" t="n">
        <f aca="false">K49*0.71</f>
        <v>920160</v>
      </c>
      <c r="M49" s="7" t="n">
        <f aca="false">K49-L49</f>
        <v>375840</v>
      </c>
    </row>
    <row r="50" customFormat="false" ht="15" hidden="false" customHeight="false" outlineLevel="0" collapsed="false">
      <c r="A50" s="2" t="s">
        <v>107</v>
      </c>
      <c r="B50" s="3" t="n">
        <v>45665</v>
      </c>
      <c r="C50" s="2" t="s">
        <v>29</v>
      </c>
      <c r="D50" s="2" t="s">
        <v>15</v>
      </c>
      <c r="E50" s="2" t="s">
        <v>25</v>
      </c>
      <c r="F50" s="2" t="s">
        <v>81</v>
      </c>
      <c r="G50" s="2" t="s">
        <v>35</v>
      </c>
      <c r="H50" s="2" t="n">
        <v>9</v>
      </c>
      <c r="I50" s="4" t="n">
        <v>1500</v>
      </c>
      <c r="J50" s="2" t="n">
        <v>0</v>
      </c>
      <c r="K50" s="4" t="n">
        <f aca="false">H50*I50*(1-J50/100)</f>
        <v>13500</v>
      </c>
      <c r="L50" s="4" t="n">
        <f aca="false">K50*0.74</f>
        <v>9990</v>
      </c>
      <c r="M50" s="4" t="n">
        <f aca="false">K50-L50</f>
        <v>3510</v>
      </c>
    </row>
    <row r="51" customFormat="false" ht="15" hidden="false" customHeight="false" outlineLevel="0" collapsed="false">
      <c r="A51" s="0" t="s">
        <v>108</v>
      </c>
      <c r="B51" s="5" t="n">
        <v>45700</v>
      </c>
      <c r="C51" s="6" t="s">
        <v>34</v>
      </c>
      <c r="D51" s="6" t="s">
        <v>20</v>
      </c>
      <c r="E51" s="6" t="s">
        <v>21</v>
      </c>
      <c r="F51" s="6" t="s">
        <v>71</v>
      </c>
      <c r="G51" s="6" t="s">
        <v>35</v>
      </c>
      <c r="H51" s="0" t="n">
        <v>1</v>
      </c>
      <c r="I51" s="7" t="n">
        <v>12000</v>
      </c>
      <c r="J51" s="0" t="n">
        <v>0</v>
      </c>
      <c r="K51" s="7" t="n">
        <f aca="false">H51*I51*(1-J51/100)</f>
        <v>12000</v>
      </c>
      <c r="L51" s="7" t="n">
        <f aca="false">K51*0.73</f>
        <v>8760</v>
      </c>
      <c r="M51" s="7" t="n">
        <f aca="false">K51-L51</f>
        <v>3240</v>
      </c>
    </row>
    <row r="52" customFormat="false" ht="15" hidden="false" customHeight="false" outlineLevel="0" collapsed="false">
      <c r="A52" s="2" t="s">
        <v>109</v>
      </c>
      <c r="B52" s="3" t="n">
        <v>45694</v>
      </c>
      <c r="C52" s="2" t="s">
        <v>34</v>
      </c>
      <c r="D52" s="2" t="s">
        <v>20</v>
      </c>
      <c r="E52" s="2" t="s">
        <v>16</v>
      </c>
      <c r="F52" s="2" t="s">
        <v>98</v>
      </c>
      <c r="G52" s="2" t="s">
        <v>43</v>
      </c>
      <c r="H52" s="2" t="n">
        <v>20</v>
      </c>
      <c r="I52" s="4" t="n">
        <v>350</v>
      </c>
      <c r="J52" s="2" t="n">
        <v>15</v>
      </c>
      <c r="K52" s="4" t="n">
        <f aca="false">H52*I52*(1-J52/100)</f>
        <v>5950</v>
      </c>
      <c r="L52" s="4" t="n">
        <f aca="false">K52*0.62</f>
        <v>3689</v>
      </c>
      <c r="M52" s="4" t="n">
        <f aca="false">K52-L52</f>
        <v>2261</v>
      </c>
    </row>
    <row r="53" customFormat="false" ht="15" hidden="false" customHeight="false" outlineLevel="0" collapsed="false">
      <c r="A53" s="0" t="s">
        <v>110</v>
      </c>
      <c r="B53" s="5" t="n">
        <v>45702</v>
      </c>
      <c r="C53" s="6" t="s">
        <v>34</v>
      </c>
      <c r="D53" s="6" t="s">
        <v>20</v>
      </c>
      <c r="E53" s="6" t="s">
        <v>38</v>
      </c>
      <c r="F53" s="6" t="s">
        <v>39</v>
      </c>
      <c r="G53" s="6" t="s">
        <v>27</v>
      </c>
      <c r="H53" s="0" t="n">
        <v>19</v>
      </c>
      <c r="I53" s="7" t="n">
        <v>1200</v>
      </c>
      <c r="J53" s="0" t="n">
        <v>5</v>
      </c>
      <c r="K53" s="7" t="n">
        <f aca="false">H53*I53*(1-J53/100)</f>
        <v>21660</v>
      </c>
      <c r="L53" s="7" t="n">
        <f aca="false">K53*0.6</f>
        <v>12996</v>
      </c>
      <c r="M53" s="7" t="n">
        <f aca="false">K53-L53</f>
        <v>8664</v>
      </c>
    </row>
    <row r="54" customFormat="false" ht="15" hidden="false" customHeight="false" outlineLevel="0" collapsed="false">
      <c r="A54" s="2" t="s">
        <v>111</v>
      </c>
      <c r="B54" s="3" t="n">
        <v>45730</v>
      </c>
      <c r="C54" s="2" t="s">
        <v>14</v>
      </c>
      <c r="D54" s="2" t="s">
        <v>15</v>
      </c>
      <c r="E54" s="2" t="s">
        <v>38</v>
      </c>
      <c r="F54" s="2" t="s">
        <v>63</v>
      </c>
      <c r="G54" s="2" t="s">
        <v>18</v>
      </c>
      <c r="H54" s="2" t="n">
        <v>12</v>
      </c>
      <c r="I54" s="4" t="n">
        <v>450</v>
      </c>
      <c r="J54" s="2" t="n">
        <v>15</v>
      </c>
      <c r="K54" s="4" t="n">
        <f aca="false">H54*I54*(1-J54/100)</f>
        <v>4590</v>
      </c>
      <c r="L54" s="4" t="n">
        <f aca="false">K54*0.56</f>
        <v>2570.4</v>
      </c>
      <c r="M54" s="4" t="n">
        <f aca="false">K54-L54</f>
        <v>2019.6</v>
      </c>
    </row>
    <row r="55" customFormat="false" ht="15" hidden="false" customHeight="false" outlineLevel="0" collapsed="false">
      <c r="A55" s="0" t="s">
        <v>112</v>
      </c>
      <c r="B55" s="5" t="n">
        <v>45727</v>
      </c>
      <c r="C55" s="6" t="s">
        <v>14</v>
      </c>
      <c r="D55" s="6" t="s">
        <v>20</v>
      </c>
      <c r="E55" s="6" t="s">
        <v>16</v>
      </c>
      <c r="F55" s="6" t="s">
        <v>98</v>
      </c>
      <c r="G55" s="6" t="s">
        <v>32</v>
      </c>
      <c r="H55" s="0" t="n">
        <v>17</v>
      </c>
      <c r="I55" s="7" t="n">
        <v>350</v>
      </c>
      <c r="J55" s="0" t="n">
        <v>10</v>
      </c>
      <c r="K55" s="7" t="n">
        <f aca="false">H55*I55*(1-J55/100)</f>
        <v>5355</v>
      </c>
      <c r="L55" s="7" t="n">
        <f aca="false">K55*0.68</f>
        <v>3641.4</v>
      </c>
      <c r="M55" s="7" t="n">
        <f aca="false">K55-L55</f>
        <v>1713.6</v>
      </c>
    </row>
    <row r="56" customFormat="false" ht="15" hidden="false" customHeight="false" outlineLevel="0" collapsed="false">
      <c r="A56" s="2" t="s">
        <v>113</v>
      </c>
      <c r="B56" s="3" t="n">
        <v>45701</v>
      </c>
      <c r="C56" s="2" t="s">
        <v>34</v>
      </c>
      <c r="D56" s="2" t="s">
        <v>41</v>
      </c>
      <c r="E56" s="2" t="s">
        <v>38</v>
      </c>
      <c r="F56" s="2" t="s">
        <v>42</v>
      </c>
      <c r="G56" s="2" t="s">
        <v>18</v>
      </c>
      <c r="H56" s="2" t="n">
        <v>14</v>
      </c>
      <c r="I56" s="4" t="n">
        <v>800</v>
      </c>
      <c r="J56" s="2" t="n">
        <v>15</v>
      </c>
      <c r="K56" s="4" t="n">
        <f aca="false">H56*I56*(1-J56/100)</f>
        <v>9520</v>
      </c>
      <c r="L56" s="4" t="n">
        <f aca="false">K56*0.69</f>
        <v>6568.8</v>
      </c>
      <c r="M56" s="4" t="n">
        <f aca="false">K56-L56</f>
        <v>2951.2</v>
      </c>
    </row>
    <row r="57" customFormat="false" ht="15" hidden="false" customHeight="false" outlineLevel="0" collapsed="false">
      <c r="A57" s="0" t="s">
        <v>114</v>
      </c>
      <c r="B57" s="5" t="n">
        <v>45677</v>
      </c>
      <c r="C57" s="6" t="s">
        <v>29</v>
      </c>
      <c r="D57" s="6" t="s">
        <v>20</v>
      </c>
      <c r="E57" s="6" t="s">
        <v>16</v>
      </c>
      <c r="F57" s="6" t="s">
        <v>60</v>
      </c>
      <c r="G57" s="6" t="s">
        <v>69</v>
      </c>
      <c r="H57" s="0" t="n">
        <v>1</v>
      </c>
      <c r="I57" s="7" t="n">
        <v>650</v>
      </c>
      <c r="J57" s="0" t="n">
        <v>10</v>
      </c>
      <c r="K57" s="7" t="n">
        <f aca="false">H57*I57*(1-J57/100)</f>
        <v>585</v>
      </c>
      <c r="L57" s="7" t="n">
        <f aca="false">K57*0.61</f>
        <v>356.85</v>
      </c>
      <c r="M57" s="7" t="n">
        <f aca="false">K57-L57</f>
        <v>228.15</v>
      </c>
    </row>
    <row r="58" customFormat="false" ht="15" hidden="false" customHeight="false" outlineLevel="0" collapsed="false">
      <c r="A58" s="2" t="s">
        <v>115</v>
      </c>
      <c r="B58" s="3" t="n">
        <v>45714</v>
      </c>
      <c r="C58" s="2" t="s">
        <v>34</v>
      </c>
      <c r="D58" s="2" t="s">
        <v>20</v>
      </c>
      <c r="E58" s="2" t="s">
        <v>38</v>
      </c>
      <c r="F58" s="2" t="s">
        <v>116</v>
      </c>
      <c r="G58" s="2" t="s">
        <v>72</v>
      </c>
      <c r="H58" s="2" t="n">
        <v>15</v>
      </c>
      <c r="I58" s="4" t="n">
        <v>2200</v>
      </c>
      <c r="J58" s="2" t="n">
        <v>15</v>
      </c>
      <c r="K58" s="4" t="n">
        <f aca="false">H58*I58*(1-J58/100)</f>
        <v>28050</v>
      </c>
      <c r="L58" s="4" t="n">
        <f aca="false">K58*0.69</f>
        <v>19354.5</v>
      </c>
      <c r="M58" s="4" t="n">
        <f aca="false">K58-L58</f>
        <v>8695.5</v>
      </c>
    </row>
    <row r="59" customFormat="false" ht="15" hidden="false" customHeight="false" outlineLevel="0" collapsed="false">
      <c r="A59" s="0" t="s">
        <v>117</v>
      </c>
      <c r="B59" s="5" t="n">
        <v>45732</v>
      </c>
      <c r="C59" s="6" t="s">
        <v>14</v>
      </c>
      <c r="D59" s="6" t="s">
        <v>30</v>
      </c>
      <c r="E59" s="6" t="s">
        <v>45</v>
      </c>
      <c r="F59" s="6" t="s">
        <v>102</v>
      </c>
      <c r="G59" s="6" t="s">
        <v>69</v>
      </c>
      <c r="H59" s="0" t="n">
        <v>20</v>
      </c>
      <c r="I59" s="7" t="n">
        <v>3200</v>
      </c>
      <c r="J59" s="0" t="n">
        <v>10</v>
      </c>
      <c r="K59" s="7" t="n">
        <f aca="false">H59*I59*(1-J59/100)</f>
        <v>57600</v>
      </c>
      <c r="L59" s="7" t="n">
        <f aca="false">K59*0.57</f>
        <v>32832</v>
      </c>
      <c r="M59" s="7" t="n">
        <f aca="false">K59-L59</f>
        <v>24768</v>
      </c>
    </row>
    <row r="60" customFormat="false" ht="15" hidden="false" customHeight="false" outlineLevel="0" collapsed="false">
      <c r="A60" s="2" t="s">
        <v>118</v>
      </c>
      <c r="B60" s="3" t="n">
        <v>45679</v>
      </c>
      <c r="C60" s="2" t="s">
        <v>29</v>
      </c>
      <c r="D60" s="2" t="s">
        <v>41</v>
      </c>
      <c r="E60" s="2" t="s">
        <v>25</v>
      </c>
      <c r="F60" s="2" t="s">
        <v>56</v>
      </c>
      <c r="G60" s="2" t="s">
        <v>49</v>
      </c>
      <c r="H60" s="2" t="n">
        <v>1</v>
      </c>
      <c r="I60" s="4" t="n">
        <v>120000</v>
      </c>
      <c r="J60" s="2" t="n">
        <v>0</v>
      </c>
      <c r="K60" s="4" t="n">
        <f aca="false">H60*I60*(1-J60/100)</f>
        <v>120000</v>
      </c>
      <c r="L60" s="4" t="n">
        <f aca="false">K60*0.6</f>
        <v>72000</v>
      </c>
      <c r="M60" s="4" t="n">
        <f aca="false">K60-L60</f>
        <v>48000</v>
      </c>
    </row>
    <row r="61" customFormat="false" ht="15" hidden="false" customHeight="false" outlineLevel="0" collapsed="false">
      <c r="A61" s="0" t="s">
        <v>119</v>
      </c>
      <c r="B61" s="5" t="n">
        <v>45708</v>
      </c>
      <c r="C61" s="6" t="s">
        <v>34</v>
      </c>
      <c r="D61" s="6" t="s">
        <v>15</v>
      </c>
      <c r="E61" s="6" t="s">
        <v>21</v>
      </c>
      <c r="F61" s="6" t="s">
        <v>84</v>
      </c>
      <c r="G61" s="6" t="s">
        <v>74</v>
      </c>
      <c r="H61" s="0" t="n">
        <v>7</v>
      </c>
      <c r="I61" s="7" t="n">
        <v>38000</v>
      </c>
      <c r="J61" s="0" t="n">
        <v>15</v>
      </c>
      <c r="K61" s="7" t="n">
        <f aca="false">H61*I61*(1-J61/100)</f>
        <v>226100</v>
      </c>
      <c r="L61" s="7" t="n">
        <f aca="false">K61*0.65</f>
        <v>146965</v>
      </c>
      <c r="M61" s="7" t="n">
        <f aca="false">K61-L61</f>
        <v>79135</v>
      </c>
    </row>
    <row r="62" customFormat="false" ht="15" hidden="false" customHeight="false" outlineLevel="0" collapsed="false">
      <c r="A62" s="2" t="s">
        <v>120</v>
      </c>
      <c r="B62" s="3" t="n">
        <v>45662</v>
      </c>
      <c r="C62" s="2" t="s">
        <v>29</v>
      </c>
      <c r="D62" s="2" t="s">
        <v>15</v>
      </c>
      <c r="E62" s="2" t="s">
        <v>45</v>
      </c>
      <c r="F62" s="2" t="s">
        <v>46</v>
      </c>
      <c r="G62" s="2" t="s">
        <v>18</v>
      </c>
      <c r="H62" s="2" t="n">
        <v>6</v>
      </c>
      <c r="I62" s="4" t="n">
        <v>900</v>
      </c>
      <c r="J62" s="2" t="n">
        <v>20</v>
      </c>
      <c r="K62" s="4" t="n">
        <f aca="false">H62*I62*(1-J62/100)</f>
        <v>4320</v>
      </c>
      <c r="L62" s="4" t="n">
        <f aca="false">K62*0.64</f>
        <v>2764.8</v>
      </c>
      <c r="M62" s="4" t="n">
        <f aca="false">K62-L62</f>
        <v>1555.2</v>
      </c>
    </row>
    <row r="63" customFormat="false" ht="15" hidden="false" customHeight="false" outlineLevel="0" collapsed="false">
      <c r="A63" s="0" t="s">
        <v>121</v>
      </c>
      <c r="B63" s="5" t="n">
        <v>45724</v>
      </c>
      <c r="C63" s="6" t="s">
        <v>14</v>
      </c>
      <c r="D63" s="6" t="s">
        <v>15</v>
      </c>
      <c r="E63" s="6" t="s">
        <v>21</v>
      </c>
      <c r="F63" s="6" t="s">
        <v>68</v>
      </c>
      <c r="G63" s="6" t="s">
        <v>72</v>
      </c>
      <c r="H63" s="0" t="n">
        <v>17</v>
      </c>
      <c r="I63" s="7" t="n">
        <v>45000</v>
      </c>
      <c r="J63" s="0" t="n">
        <v>20</v>
      </c>
      <c r="K63" s="7" t="n">
        <f aca="false">H63*I63*(1-J63/100)</f>
        <v>612000</v>
      </c>
      <c r="L63" s="7" t="n">
        <f aca="false">K63*0.67</f>
        <v>410040</v>
      </c>
      <c r="M63" s="7" t="n">
        <f aca="false">K63-L63</f>
        <v>201960</v>
      </c>
    </row>
    <row r="64" customFormat="false" ht="15" hidden="false" customHeight="false" outlineLevel="0" collapsed="false">
      <c r="A64" s="2" t="s">
        <v>122</v>
      </c>
      <c r="B64" s="3" t="n">
        <v>45708</v>
      </c>
      <c r="C64" s="2" t="s">
        <v>34</v>
      </c>
      <c r="D64" s="2" t="s">
        <v>20</v>
      </c>
      <c r="E64" s="2" t="s">
        <v>21</v>
      </c>
      <c r="F64" s="2" t="s">
        <v>71</v>
      </c>
      <c r="G64" s="2" t="s">
        <v>72</v>
      </c>
      <c r="H64" s="2" t="n">
        <v>6</v>
      </c>
      <c r="I64" s="4" t="n">
        <v>12000</v>
      </c>
      <c r="J64" s="2" t="n">
        <v>15</v>
      </c>
      <c r="K64" s="4" t="n">
        <f aca="false">H64*I64*(1-J64/100)</f>
        <v>61200</v>
      </c>
      <c r="L64" s="4" t="n">
        <f aca="false">K64*0.64</f>
        <v>39168</v>
      </c>
      <c r="M64" s="4" t="n">
        <f aca="false">K64-L64</f>
        <v>22032</v>
      </c>
    </row>
    <row r="65" customFormat="false" ht="15" hidden="false" customHeight="false" outlineLevel="0" collapsed="false">
      <c r="A65" s="0" t="s">
        <v>123</v>
      </c>
      <c r="B65" s="5" t="n">
        <v>45684</v>
      </c>
      <c r="C65" s="6" t="s">
        <v>29</v>
      </c>
      <c r="D65" s="6" t="s">
        <v>41</v>
      </c>
      <c r="E65" s="6" t="s">
        <v>38</v>
      </c>
      <c r="F65" s="6" t="s">
        <v>100</v>
      </c>
      <c r="G65" s="6" t="s">
        <v>18</v>
      </c>
      <c r="H65" s="0" t="n">
        <v>9</v>
      </c>
      <c r="I65" s="7" t="n">
        <v>650</v>
      </c>
      <c r="J65" s="0" t="n">
        <v>15</v>
      </c>
      <c r="K65" s="7" t="n">
        <f aca="false">H65*I65*(1-J65/100)</f>
        <v>4972.5</v>
      </c>
      <c r="L65" s="7" t="n">
        <f aca="false">K65*0.57</f>
        <v>2834.325</v>
      </c>
      <c r="M65" s="7" t="n">
        <f aca="false">K65-L65</f>
        <v>2138.175</v>
      </c>
    </row>
    <row r="66" customFormat="false" ht="15" hidden="false" customHeight="false" outlineLevel="0" collapsed="false">
      <c r="A66" s="2" t="s">
        <v>124</v>
      </c>
      <c r="B66" s="3" t="n">
        <v>45696</v>
      </c>
      <c r="C66" s="2" t="s">
        <v>34</v>
      </c>
      <c r="D66" s="2" t="s">
        <v>41</v>
      </c>
      <c r="E66" s="2" t="s">
        <v>16</v>
      </c>
      <c r="F66" s="2" t="s">
        <v>125</v>
      </c>
      <c r="G66" s="2" t="s">
        <v>69</v>
      </c>
      <c r="H66" s="2" t="n">
        <v>3</v>
      </c>
      <c r="I66" s="4" t="n">
        <v>280</v>
      </c>
      <c r="J66" s="2" t="n">
        <v>5</v>
      </c>
      <c r="K66" s="4" t="n">
        <f aca="false">H66*I66*(1-J66/100)</f>
        <v>798</v>
      </c>
      <c r="L66" s="4" t="n">
        <f aca="false">K66*0.58</f>
        <v>462.84</v>
      </c>
      <c r="M66" s="4" t="n">
        <f aca="false">K66-L66</f>
        <v>335.16</v>
      </c>
    </row>
    <row r="67" customFormat="false" ht="15" hidden="false" customHeight="false" outlineLevel="0" collapsed="false">
      <c r="A67" s="0" t="s">
        <v>126</v>
      </c>
      <c r="B67" s="5" t="n">
        <v>45711</v>
      </c>
      <c r="C67" s="6" t="s">
        <v>34</v>
      </c>
      <c r="D67" s="6" t="s">
        <v>30</v>
      </c>
      <c r="E67" s="6" t="s">
        <v>25</v>
      </c>
      <c r="F67" s="6" t="s">
        <v>65</v>
      </c>
      <c r="G67" s="6" t="s">
        <v>27</v>
      </c>
      <c r="H67" s="0" t="n">
        <v>14</v>
      </c>
      <c r="I67" s="7" t="n">
        <v>45000</v>
      </c>
      <c r="J67" s="0" t="n">
        <v>10</v>
      </c>
      <c r="K67" s="7" t="n">
        <f aca="false">H67*I67*(1-J67/100)</f>
        <v>567000</v>
      </c>
      <c r="L67" s="7" t="n">
        <f aca="false">K67*0.66</f>
        <v>374220</v>
      </c>
      <c r="M67" s="7" t="n">
        <f aca="false">K67-L67</f>
        <v>192780</v>
      </c>
    </row>
    <row r="68" customFormat="false" ht="15" hidden="false" customHeight="false" outlineLevel="0" collapsed="false">
      <c r="A68" s="2" t="s">
        <v>127</v>
      </c>
      <c r="B68" s="3" t="n">
        <v>45690</v>
      </c>
      <c r="C68" s="2" t="s">
        <v>34</v>
      </c>
      <c r="D68" s="2" t="s">
        <v>30</v>
      </c>
      <c r="E68" s="2" t="s">
        <v>21</v>
      </c>
      <c r="F68" s="2" t="s">
        <v>84</v>
      </c>
      <c r="G68" s="2" t="s">
        <v>74</v>
      </c>
      <c r="H68" s="2" t="n">
        <v>1</v>
      </c>
      <c r="I68" s="4" t="n">
        <v>38000</v>
      </c>
      <c r="J68" s="2" t="n">
        <v>20</v>
      </c>
      <c r="K68" s="4" t="n">
        <f aca="false">H68*I68*(1-J68/100)</f>
        <v>30400</v>
      </c>
      <c r="L68" s="4" t="n">
        <f aca="false">K68*0.63</f>
        <v>19152</v>
      </c>
      <c r="M68" s="4" t="n">
        <f aca="false">K68-L68</f>
        <v>11248</v>
      </c>
    </row>
    <row r="69" customFormat="false" ht="15" hidden="false" customHeight="false" outlineLevel="0" collapsed="false">
      <c r="A69" s="0" t="s">
        <v>128</v>
      </c>
      <c r="B69" s="5" t="n">
        <v>45669</v>
      </c>
      <c r="C69" s="6" t="s">
        <v>29</v>
      </c>
      <c r="D69" s="6" t="s">
        <v>41</v>
      </c>
      <c r="E69" s="6" t="s">
        <v>21</v>
      </c>
      <c r="F69" s="6" t="s">
        <v>84</v>
      </c>
      <c r="G69" s="6" t="s">
        <v>69</v>
      </c>
      <c r="H69" s="0" t="n">
        <v>18</v>
      </c>
      <c r="I69" s="7" t="n">
        <v>38000</v>
      </c>
      <c r="J69" s="0" t="n">
        <v>20</v>
      </c>
      <c r="K69" s="7" t="n">
        <f aca="false">H69*I69*(1-J69/100)</f>
        <v>547200</v>
      </c>
      <c r="L69" s="7" t="n">
        <f aca="false">K69*0.73</f>
        <v>399456</v>
      </c>
      <c r="M69" s="7" t="n">
        <f aca="false">K69-L69</f>
        <v>147744</v>
      </c>
    </row>
    <row r="70" customFormat="false" ht="15" hidden="false" customHeight="false" outlineLevel="0" collapsed="false">
      <c r="A70" s="2" t="s">
        <v>129</v>
      </c>
      <c r="B70" s="3" t="n">
        <v>45696</v>
      </c>
      <c r="C70" s="2" t="s">
        <v>34</v>
      </c>
      <c r="D70" s="2" t="s">
        <v>41</v>
      </c>
      <c r="E70" s="2" t="s">
        <v>21</v>
      </c>
      <c r="F70" s="2" t="s">
        <v>84</v>
      </c>
      <c r="G70" s="2" t="s">
        <v>23</v>
      </c>
      <c r="H70" s="2" t="n">
        <v>13</v>
      </c>
      <c r="I70" s="4" t="n">
        <v>38000</v>
      </c>
      <c r="J70" s="2" t="n">
        <v>10</v>
      </c>
      <c r="K70" s="4" t="n">
        <f aca="false">H70*I70*(1-J70/100)</f>
        <v>444600</v>
      </c>
      <c r="L70" s="4" t="n">
        <f aca="false">K70*0.68</f>
        <v>302328</v>
      </c>
      <c r="M70" s="4" t="n">
        <f aca="false">K70-L70</f>
        <v>142272</v>
      </c>
    </row>
    <row r="71" customFormat="false" ht="15" hidden="false" customHeight="false" outlineLevel="0" collapsed="false">
      <c r="A71" s="0" t="s">
        <v>130</v>
      </c>
      <c r="B71" s="5" t="n">
        <v>45712</v>
      </c>
      <c r="C71" s="6" t="s">
        <v>34</v>
      </c>
      <c r="D71" s="6" t="s">
        <v>30</v>
      </c>
      <c r="E71" s="6" t="s">
        <v>21</v>
      </c>
      <c r="F71" s="6" t="s">
        <v>68</v>
      </c>
      <c r="G71" s="6" t="s">
        <v>74</v>
      </c>
      <c r="H71" s="0" t="n">
        <v>18</v>
      </c>
      <c r="I71" s="7" t="n">
        <v>45000</v>
      </c>
      <c r="J71" s="0" t="n">
        <v>0</v>
      </c>
      <c r="K71" s="7" t="n">
        <f aca="false">H71*I71*(1-J71/100)</f>
        <v>810000</v>
      </c>
      <c r="L71" s="7" t="n">
        <f aca="false">K71*0.73</f>
        <v>591300</v>
      </c>
      <c r="M71" s="7" t="n">
        <f aca="false">K71-L71</f>
        <v>218700</v>
      </c>
    </row>
    <row r="72" customFormat="false" ht="15" hidden="false" customHeight="false" outlineLevel="0" collapsed="false">
      <c r="A72" s="2" t="s">
        <v>131</v>
      </c>
      <c r="B72" s="3" t="n">
        <v>45735</v>
      </c>
      <c r="C72" s="2" t="s">
        <v>14</v>
      </c>
      <c r="D72" s="2" t="s">
        <v>15</v>
      </c>
      <c r="E72" s="2" t="s">
        <v>45</v>
      </c>
      <c r="F72" s="2" t="s">
        <v>46</v>
      </c>
      <c r="G72" s="2" t="s">
        <v>49</v>
      </c>
      <c r="H72" s="2" t="n">
        <v>15</v>
      </c>
      <c r="I72" s="4" t="n">
        <v>900</v>
      </c>
      <c r="J72" s="2" t="n">
        <v>5</v>
      </c>
      <c r="K72" s="4" t="n">
        <f aca="false">H72*I72*(1-J72/100)</f>
        <v>12825</v>
      </c>
      <c r="L72" s="4" t="n">
        <f aca="false">K72*0.56</f>
        <v>7182</v>
      </c>
      <c r="M72" s="4" t="n">
        <f aca="false">K72-L72</f>
        <v>5643</v>
      </c>
    </row>
    <row r="73" customFormat="false" ht="15" hidden="false" customHeight="false" outlineLevel="0" collapsed="false">
      <c r="A73" s="0" t="s">
        <v>132</v>
      </c>
      <c r="B73" s="5" t="n">
        <v>45699</v>
      </c>
      <c r="C73" s="6" t="s">
        <v>34</v>
      </c>
      <c r="D73" s="6" t="s">
        <v>30</v>
      </c>
      <c r="E73" s="6" t="s">
        <v>21</v>
      </c>
      <c r="F73" s="6" t="s">
        <v>31</v>
      </c>
      <c r="G73" s="6" t="s">
        <v>35</v>
      </c>
      <c r="H73" s="0" t="n">
        <v>13</v>
      </c>
      <c r="I73" s="7" t="n">
        <v>62000</v>
      </c>
      <c r="J73" s="0" t="n">
        <v>10</v>
      </c>
      <c r="K73" s="7" t="n">
        <f aca="false">H73*I73*(1-J73/100)</f>
        <v>725400</v>
      </c>
      <c r="L73" s="7" t="n">
        <f aca="false">K73*0.7</f>
        <v>507780</v>
      </c>
      <c r="M73" s="7" t="n">
        <f aca="false">K73-L73</f>
        <v>217620</v>
      </c>
    </row>
    <row r="74" customFormat="false" ht="15" hidden="false" customHeight="false" outlineLevel="0" collapsed="false">
      <c r="A74" s="2" t="s">
        <v>133</v>
      </c>
      <c r="B74" s="3" t="n">
        <v>45697</v>
      </c>
      <c r="C74" s="2" t="s">
        <v>34</v>
      </c>
      <c r="D74" s="2" t="s">
        <v>15</v>
      </c>
      <c r="E74" s="2" t="s">
        <v>21</v>
      </c>
      <c r="F74" s="2" t="s">
        <v>22</v>
      </c>
      <c r="G74" s="2" t="s">
        <v>69</v>
      </c>
      <c r="H74" s="2" t="n">
        <v>2</v>
      </c>
      <c r="I74" s="4" t="n">
        <v>85000</v>
      </c>
      <c r="J74" s="2" t="n">
        <v>10</v>
      </c>
      <c r="K74" s="4" t="n">
        <f aca="false">H74*I74*(1-J74/100)</f>
        <v>153000</v>
      </c>
      <c r="L74" s="4" t="n">
        <f aca="false">K74*0.59</f>
        <v>90270</v>
      </c>
      <c r="M74" s="4" t="n">
        <f aca="false">K74-L74</f>
        <v>62730</v>
      </c>
    </row>
    <row r="75" customFormat="false" ht="15" hidden="false" customHeight="false" outlineLevel="0" collapsed="false">
      <c r="A75" s="0" t="s">
        <v>134</v>
      </c>
      <c r="B75" s="5" t="n">
        <v>45682</v>
      </c>
      <c r="C75" s="6" t="s">
        <v>29</v>
      </c>
      <c r="D75" s="6" t="s">
        <v>15</v>
      </c>
      <c r="E75" s="6" t="s">
        <v>45</v>
      </c>
      <c r="F75" s="6" t="s">
        <v>93</v>
      </c>
      <c r="G75" s="6" t="s">
        <v>18</v>
      </c>
      <c r="H75" s="0" t="n">
        <v>1</v>
      </c>
      <c r="I75" s="7" t="n">
        <v>1800</v>
      </c>
      <c r="J75" s="0" t="n">
        <v>20</v>
      </c>
      <c r="K75" s="7" t="n">
        <f aca="false">H75*I75*(1-J75/100)</f>
        <v>1440</v>
      </c>
      <c r="L75" s="7" t="n">
        <f aca="false">K75*0.58</f>
        <v>835.2</v>
      </c>
      <c r="M75" s="7" t="n">
        <f aca="false">K75-L75</f>
        <v>604.8</v>
      </c>
    </row>
    <row r="76" customFormat="false" ht="15" hidden="false" customHeight="false" outlineLevel="0" collapsed="false">
      <c r="A76" s="2" t="s">
        <v>135</v>
      </c>
      <c r="B76" s="3" t="n">
        <v>45673</v>
      </c>
      <c r="C76" s="2" t="s">
        <v>29</v>
      </c>
      <c r="D76" s="2" t="s">
        <v>15</v>
      </c>
      <c r="E76" s="2" t="s">
        <v>38</v>
      </c>
      <c r="F76" s="2" t="s">
        <v>42</v>
      </c>
      <c r="G76" s="2" t="s">
        <v>72</v>
      </c>
      <c r="H76" s="2" t="n">
        <v>9</v>
      </c>
      <c r="I76" s="4" t="n">
        <v>800</v>
      </c>
      <c r="J76" s="2" t="n">
        <v>10</v>
      </c>
      <c r="K76" s="4" t="n">
        <f aca="false">H76*I76*(1-J76/100)</f>
        <v>6480</v>
      </c>
      <c r="L76" s="4" t="n">
        <f aca="false">K76*0.58</f>
        <v>3758.4</v>
      </c>
      <c r="M76" s="4" t="n">
        <f aca="false">K76-L76</f>
        <v>2721.6</v>
      </c>
    </row>
    <row r="77" customFormat="false" ht="15" hidden="false" customHeight="false" outlineLevel="0" collapsed="false">
      <c r="A77" s="0" t="s">
        <v>136</v>
      </c>
      <c r="B77" s="5" t="n">
        <v>45740</v>
      </c>
      <c r="C77" s="6" t="s">
        <v>14</v>
      </c>
      <c r="D77" s="6" t="s">
        <v>15</v>
      </c>
      <c r="E77" s="6" t="s">
        <v>25</v>
      </c>
      <c r="F77" s="6" t="s">
        <v>51</v>
      </c>
      <c r="G77" s="6" t="s">
        <v>43</v>
      </c>
      <c r="H77" s="0" t="n">
        <v>19</v>
      </c>
      <c r="I77" s="7" t="n">
        <v>8500</v>
      </c>
      <c r="J77" s="0" t="n">
        <v>0</v>
      </c>
      <c r="K77" s="7" t="n">
        <f aca="false">H77*I77*(1-J77/100)</f>
        <v>161500</v>
      </c>
      <c r="L77" s="7" t="n">
        <f aca="false">K77*0.74</f>
        <v>119510</v>
      </c>
      <c r="M77" s="7" t="n">
        <f aca="false">K77-L77</f>
        <v>41990</v>
      </c>
    </row>
    <row r="78" customFormat="false" ht="15" hidden="false" customHeight="false" outlineLevel="0" collapsed="false">
      <c r="A78" s="2" t="s">
        <v>137</v>
      </c>
      <c r="B78" s="3" t="n">
        <v>45738</v>
      </c>
      <c r="C78" s="2" t="s">
        <v>14</v>
      </c>
      <c r="D78" s="2" t="s">
        <v>37</v>
      </c>
      <c r="E78" s="2" t="s">
        <v>21</v>
      </c>
      <c r="F78" s="2" t="s">
        <v>68</v>
      </c>
      <c r="G78" s="2" t="s">
        <v>43</v>
      </c>
      <c r="H78" s="2" t="n">
        <v>19</v>
      </c>
      <c r="I78" s="4" t="n">
        <v>45000</v>
      </c>
      <c r="J78" s="2" t="n">
        <v>5</v>
      </c>
      <c r="K78" s="4" t="n">
        <f aca="false">H78*I78*(1-J78/100)</f>
        <v>812250</v>
      </c>
      <c r="L78" s="4" t="n">
        <f aca="false">K78*0.57</f>
        <v>462982.5</v>
      </c>
      <c r="M78" s="4" t="n">
        <f aca="false">K78-L78</f>
        <v>349267.5</v>
      </c>
    </row>
    <row r="79" customFormat="false" ht="15" hidden="false" customHeight="false" outlineLevel="0" collapsed="false">
      <c r="A79" s="0" t="s">
        <v>138</v>
      </c>
      <c r="B79" s="5" t="n">
        <v>45716</v>
      </c>
      <c r="C79" s="6" t="s">
        <v>34</v>
      </c>
      <c r="D79" s="6" t="s">
        <v>20</v>
      </c>
      <c r="E79" s="6" t="s">
        <v>45</v>
      </c>
      <c r="F79" s="6" t="s">
        <v>48</v>
      </c>
      <c r="G79" s="6" t="s">
        <v>23</v>
      </c>
      <c r="H79" s="0" t="n">
        <v>12</v>
      </c>
      <c r="I79" s="7" t="n">
        <v>700</v>
      </c>
      <c r="J79" s="0" t="n">
        <v>20</v>
      </c>
      <c r="K79" s="7" t="n">
        <f aca="false">H79*I79*(1-J79/100)</f>
        <v>6720</v>
      </c>
      <c r="L79" s="7" t="n">
        <f aca="false">K79*0.64</f>
        <v>4300.8</v>
      </c>
      <c r="M79" s="7" t="n">
        <f aca="false">K79-L79</f>
        <v>2419.2</v>
      </c>
    </row>
    <row r="80" customFormat="false" ht="15" hidden="false" customHeight="false" outlineLevel="0" collapsed="false">
      <c r="A80" s="2" t="s">
        <v>139</v>
      </c>
      <c r="B80" s="3" t="n">
        <v>45691</v>
      </c>
      <c r="C80" s="2" t="s">
        <v>34</v>
      </c>
      <c r="D80" s="2" t="s">
        <v>20</v>
      </c>
      <c r="E80" s="2" t="s">
        <v>16</v>
      </c>
      <c r="F80" s="2" t="s">
        <v>98</v>
      </c>
      <c r="G80" s="2" t="s">
        <v>27</v>
      </c>
      <c r="H80" s="2" t="n">
        <v>16</v>
      </c>
      <c r="I80" s="4" t="n">
        <v>350</v>
      </c>
      <c r="J80" s="2" t="n">
        <v>0</v>
      </c>
      <c r="K80" s="4" t="n">
        <f aca="false">H80*I80*(1-J80/100)</f>
        <v>5600</v>
      </c>
      <c r="L80" s="4" t="n">
        <f aca="false">K80*0.64</f>
        <v>3584</v>
      </c>
      <c r="M80" s="4" t="n">
        <f aca="false">K80-L80</f>
        <v>2016</v>
      </c>
    </row>
    <row r="81" customFormat="false" ht="15" hidden="false" customHeight="false" outlineLevel="0" collapsed="false">
      <c r="A81" s="0" t="s">
        <v>140</v>
      </c>
      <c r="B81" s="5" t="n">
        <v>45709</v>
      </c>
      <c r="C81" s="6" t="s">
        <v>34</v>
      </c>
      <c r="D81" s="6" t="s">
        <v>37</v>
      </c>
      <c r="E81" s="6" t="s">
        <v>25</v>
      </c>
      <c r="F81" s="6" t="s">
        <v>81</v>
      </c>
      <c r="G81" s="6" t="s">
        <v>49</v>
      </c>
      <c r="H81" s="0" t="n">
        <v>17</v>
      </c>
      <c r="I81" s="7" t="n">
        <v>1500</v>
      </c>
      <c r="J81" s="0" t="n">
        <v>10</v>
      </c>
      <c r="K81" s="7" t="n">
        <f aca="false">H81*I81*(1-J81/100)</f>
        <v>22950</v>
      </c>
      <c r="L81" s="7" t="n">
        <f aca="false">K81*0.67</f>
        <v>15376.5</v>
      </c>
      <c r="M81" s="7" t="n">
        <f aca="false">K81-L81</f>
        <v>7573.5</v>
      </c>
    </row>
    <row r="82" customFormat="false" ht="15" hidden="false" customHeight="false" outlineLevel="0" collapsed="false">
      <c r="A82" s="2" t="s">
        <v>141</v>
      </c>
      <c r="B82" s="3" t="n">
        <v>45741</v>
      </c>
      <c r="C82" s="2" t="s">
        <v>14</v>
      </c>
      <c r="D82" s="2" t="s">
        <v>37</v>
      </c>
      <c r="E82" s="2" t="s">
        <v>21</v>
      </c>
      <c r="F82" s="2" t="s">
        <v>84</v>
      </c>
      <c r="G82" s="2" t="s">
        <v>74</v>
      </c>
      <c r="H82" s="2" t="n">
        <v>9</v>
      </c>
      <c r="I82" s="4" t="n">
        <v>38000</v>
      </c>
      <c r="J82" s="2" t="n">
        <v>10</v>
      </c>
      <c r="K82" s="4" t="n">
        <f aca="false">H82*I82*(1-J82/100)</f>
        <v>307800</v>
      </c>
      <c r="L82" s="4" t="n">
        <f aca="false">K82*0.72</f>
        <v>221616</v>
      </c>
      <c r="M82" s="4" t="n">
        <f aca="false">K82-L82</f>
        <v>86184</v>
      </c>
    </row>
    <row r="83" customFormat="false" ht="15" hidden="false" customHeight="false" outlineLevel="0" collapsed="false">
      <c r="A83" s="0" t="s">
        <v>142</v>
      </c>
      <c r="B83" s="5" t="n">
        <v>45666</v>
      </c>
      <c r="C83" s="6" t="s">
        <v>29</v>
      </c>
      <c r="D83" s="6" t="s">
        <v>37</v>
      </c>
      <c r="E83" s="6" t="s">
        <v>25</v>
      </c>
      <c r="F83" s="6" t="s">
        <v>81</v>
      </c>
      <c r="G83" s="6" t="s">
        <v>74</v>
      </c>
      <c r="H83" s="0" t="n">
        <v>20</v>
      </c>
      <c r="I83" s="7" t="n">
        <v>1500</v>
      </c>
      <c r="J83" s="0" t="n">
        <v>15</v>
      </c>
      <c r="K83" s="7" t="n">
        <f aca="false">H83*I83*(1-J83/100)</f>
        <v>25500</v>
      </c>
      <c r="L83" s="7" t="n">
        <f aca="false">K83*0.62</f>
        <v>15810</v>
      </c>
      <c r="M83" s="7" t="n">
        <f aca="false">K83-L83</f>
        <v>9690</v>
      </c>
    </row>
    <row r="84" customFormat="false" ht="15" hidden="false" customHeight="false" outlineLevel="0" collapsed="false">
      <c r="A84" s="2" t="s">
        <v>143</v>
      </c>
      <c r="B84" s="3" t="n">
        <v>45716</v>
      </c>
      <c r="C84" s="2" t="s">
        <v>34</v>
      </c>
      <c r="D84" s="2" t="s">
        <v>41</v>
      </c>
      <c r="E84" s="2" t="s">
        <v>25</v>
      </c>
      <c r="F84" s="2" t="s">
        <v>81</v>
      </c>
      <c r="G84" s="2" t="s">
        <v>18</v>
      </c>
      <c r="H84" s="2" t="n">
        <v>12</v>
      </c>
      <c r="I84" s="4" t="n">
        <v>1500</v>
      </c>
      <c r="J84" s="2" t="n">
        <v>10</v>
      </c>
      <c r="K84" s="4" t="n">
        <f aca="false">H84*I84*(1-J84/100)</f>
        <v>16200</v>
      </c>
      <c r="L84" s="4" t="n">
        <f aca="false">K84*0.62</f>
        <v>10044</v>
      </c>
      <c r="M84" s="4" t="n">
        <f aca="false">K84-L84</f>
        <v>6156</v>
      </c>
    </row>
    <row r="85" customFormat="false" ht="15" hidden="false" customHeight="false" outlineLevel="0" collapsed="false">
      <c r="A85" s="0" t="s">
        <v>144</v>
      </c>
      <c r="B85" s="5" t="n">
        <v>45739</v>
      </c>
      <c r="C85" s="6" t="s">
        <v>14</v>
      </c>
      <c r="D85" s="6" t="s">
        <v>41</v>
      </c>
      <c r="E85" s="6" t="s">
        <v>38</v>
      </c>
      <c r="F85" s="6" t="s">
        <v>39</v>
      </c>
      <c r="G85" s="6" t="s">
        <v>69</v>
      </c>
      <c r="H85" s="0" t="n">
        <v>7</v>
      </c>
      <c r="I85" s="7" t="n">
        <v>1200</v>
      </c>
      <c r="J85" s="0" t="n">
        <v>0</v>
      </c>
      <c r="K85" s="7" t="n">
        <f aca="false">H85*I85*(1-J85/100)</f>
        <v>8400</v>
      </c>
      <c r="L85" s="7" t="n">
        <f aca="false">K85*0.6</f>
        <v>5040</v>
      </c>
      <c r="M85" s="7" t="n">
        <f aca="false">K85-L85</f>
        <v>3360</v>
      </c>
    </row>
    <row r="86" customFormat="false" ht="15" hidden="false" customHeight="false" outlineLevel="0" collapsed="false">
      <c r="A86" s="2" t="s">
        <v>145</v>
      </c>
      <c r="B86" s="3" t="n">
        <v>45704</v>
      </c>
      <c r="C86" s="2" t="s">
        <v>34</v>
      </c>
      <c r="D86" s="2" t="s">
        <v>20</v>
      </c>
      <c r="E86" s="2" t="s">
        <v>25</v>
      </c>
      <c r="F86" s="2" t="s">
        <v>81</v>
      </c>
      <c r="G86" s="2" t="s">
        <v>72</v>
      </c>
      <c r="H86" s="2" t="n">
        <v>15</v>
      </c>
      <c r="I86" s="4" t="n">
        <v>1500</v>
      </c>
      <c r="J86" s="2" t="n">
        <v>0</v>
      </c>
      <c r="K86" s="4" t="n">
        <f aca="false">H86*I86*(1-J86/100)</f>
        <v>22500</v>
      </c>
      <c r="L86" s="4" t="n">
        <f aca="false">K86*0.57</f>
        <v>12825</v>
      </c>
      <c r="M86" s="4" t="n">
        <f aca="false">K86-L86</f>
        <v>9675</v>
      </c>
    </row>
    <row r="87" customFormat="false" ht="15" hidden="false" customHeight="false" outlineLevel="0" collapsed="false">
      <c r="A87" s="0" t="s">
        <v>146</v>
      </c>
      <c r="B87" s="5" t="n">
        <v>45670</v>
      </c>
      <c r="C87" s="6" t="s">
        <v>29</v>
      </c>
      <c r="D87" s="6" t="s">
        <v>30</v>
      </c>
      <c r="E87" s="6" t="s">
        <v>16</v>
      </c>
      <c r="F87" s="6" t="s">
        <v>58</v>
      </c>
      <c r="G87" s="6" t="s">
        <v>35</v>
      </c>
      <c r="H87" s="0" t="n">
        <v>16</v>
      </c>
      <c r="I87" s="7" t="n">
        <v>200</v>
      </c>
      <c r="J87" s="0" t="n">
        <v>20</v>
      </c>
      <c r="K87" s="7" t="n">
        <f aca="false">H87*I87*(1-J87/100)</f>
        <v>2560</v>
      </c>
      <c r="L87" s="7" t="n">
        <f aca="false">K87*0.66</f>
        <v>1689.6</v>
      </c>
      <c r="M87" s="7" t="n">
        <f aca="false">K87-L87</f>
        <v>870.4</v>
      </c>
    </row>
    <row r="88" customFormat="false" ht="15" hidden="false" customHeight="false" outlineLevel="0" collapsed="false">
      <c r="A88" s="2" t="s">
        <v>147</v>
      </c>
      <c r="B88" s="3" t="n">
        <v>45712</v>
      </c>
      <c r="C88" s="2" t="s">
        <v>34</v>
      </c>
      <c r="D88" s="2" t="s">
        <v>20</v>
      </c>
      <c r="E88" s="2" t="s">
        <v>16</v>
      </c>
      <c r="F88" s="2" t="s">
        <v>125</v>
      </c>
      <c r="G88" s="2" t="s">
        <v>72</v>
      </c>
      <c r="H88" s="2" t="n">
        <v>9</v>
      </c>
      <c r="I88" s="4" t="n">
        <v>280</v>
      </c>
      <c r="J88" s="2" t="n">
        <v>10</v>
      </c>
      <c r="K88" s="4" t="n">
        <f aca="false">H88*I88*(1-J88/100)</f>
        <v>2268</v>
      </c>
      <c r="L88" s="4" t="n">
        <f aca="false">K88*0.6</f>
        <v>1360.8</v>
      </c>
      <c r="M88" s="4" t="n">
        <f aca="false">K88-L88</f>
        <v>907.2</v>
      </c>
    </row>
    <row r="89" customFormat="false" ht="15" hidden="false" customHeight="false" outlineLevel="0" collapsed="false">
      <c r="A89" s="0" t="s">
        <v>148</v>
      </c>
      <c r="B89" s="5" t="n">
        <v>45681</v>
      </c>
      <c r="C89" s="6" t="s">
        <v>29</v>
      </c>
      <c r="D89" s="6" t="s">
        <v>30</v>
      </c>
      <c r="E89" s="6" t="s">
        <v>16</v>
      </c>
      <c r="F89" s="6" t="s">
        <v>98</v>
      </c>
      <c r="G89" s="6" t="s">
        <v>69</v>
      </c>
      <c r="H89" s="0" t="n">
        <v>6</v>
      </c>
      <c r="I89" s="7" t="n">
        <v>350</v>
      </c>
      <c r="J89" s="0" t="n">
        <v>5</v>
      </c>
      <c r="K89" s="7" t="n">
        <f aca="false">H89*I89*(1-J89/100)</f>
        <v>1995</v>
      </c>
      <c r="L89" s="7" t="n">
        <f aca="false">K89*0.59</f>
        <v>1177.05</v>
      </c>
      <c r="M89" s="7" t="n">
        <f aca="false">K89-L89</f>
        <v>817.95</v>
      </c>
    </row>
    <row r="90" customFormat="false" ht="15" hidden="false" customHeight="false" outlineLevel="0" collapsed="false">
      <c r="A90" s="2" t="s">
        <v>149</v>
      </c>
      <c r="B90" s="3" t="n">
        <v>45697</v>
      </c>
      <c r="C90" s="2" t="s">
        <v>34</v>
      </c>
      <c r="D90" s="2" t="s">
        <v>20</v>
      </c>
      <c r="E90" s="2" t="s">
        <v>38</v>
      </c>
      <c r="F90" s="2" t="s">
        <v>63</v>
      </c>
      <c r="G90" s="2" t="s">
        <v>32</v>
      </c>
      <c r="H90" s="2" t="n">
        <v>4</v>
      </c>
      <c r="I90" s="4" t="n">
        <v>450</v>
      </c>
      <c r="J90" s="2" t="n">
        <v>5</v>
      </c>
      <c r="K90" s="4" t="n">
        <f aca="false">H90*I90*(1-J90/100)</f>
        <v>1710</v>
      </c>
      <c r="L90" s="4" t="n">
        <f aca="false">K90*0.61</f>
        <v>1043.1</v>
      </c>
      <c r="M90" s="4" t="n">
        <f aca="false">K90-L90</f>
        <v>666.9</v>
      </c>
    </row>
    <row r="91" customFormat="false" ht="15" hidden="false" customHeight="false" outlineLevel="0" collapsed="false">
      <c r="A91" s="0" t="s">
        <v>150</v>
      </c>
      <c r="B91" s="5" t="n">
        <v>45694</v>
      </c>
      <c r="C91" s="6" t="s">
        <v>34</v>
      </c>
      <c r="D91" s="6" t="s">
        <v>41</v>
      </c>
      <c r="E91" s="6" t="s">
        <v>45</v>
      </c>
      <c r="F91" s="6" t="s">
        <v>48</v>
      </c>
      <c r="G91" s="6" t="s">
        <v>49</v>
      </c>
      <c r="H91" s="0" t="n">
        <v>9</v>
      </c>
      <c r="I91" s="7" t="n">
        <v>700</v>
      </c>
      <c r="J91" s="0" t="n">
        <v>0</v>
      </c>
      <c r="K91" s="7" t="n">
        <f aca="false">H91*I91*(1-J91/100)</f>
        <v>6300</v>
      </c>
      <c r="L91" s="7" t="n">
        <f aca="false">K91*0.74</f>
        <v>4662</v>
      </c>
      <c r="M91" s="7" t="n">
        <f aca="false">K91-L91</f>
        <v>1638</v>
      </c>
    </row>
    <row r="92" customFormat="false" ht="15" hidden="false" customHeight="false" outlineLevel="0" collapsed="false">
      <c r="A92" s="2" t="s">
        <v>151</v>
      </c>
      <c r="B92" s="3" t="n">
        <v>45726</v>
      </c>
      <c r="C92" s="2" t="s">
        <v>14</v>
      </c>
      <c r="D92" s="2" t="s">
        <v>30</v>
      </c>
      <c r="E92" s="2" t="s">
        <v>21</v>
      </c>
      <c r="F92" s="2" t="s">
        <v>22</v>
      </c>
      <c r="G92" s="2" t="s">
        <v>23</v>
      </c>
      <c r="H92" s="2" t="n">
        <v>19</v>
      </c>
      <c r="I92" s="4" t="n">
        <v>85000</v>
      </c>
      <c r="J92" s="2" t="n">
        <v>10</v>
      </c>
      <c r="K92" s="4" t="n">
        <f aca="false">H92*I92*(1-J92/100)</f>
        <v>1453500</v>
      </c>
      <c r="L92" s="4" t="n">
        <f aca="false">K92*0.64</f>
        <v>930240</v>
      </c>
      <c r="M92" s="4" t="n">
        <f aca="false">K92-L92</f>
        <v>523260</v>
      </c>
    </row>
    <row r="93" customFormat="false" ht="15" hidden="false" customHeight="false" outlineLevel="0" collapsed="false">
      <c r="A93" s="0" t="s">
        <v>152</v>
      </c>
      <c r="B93" s="5" t="n">
        <v>45699</v>
      </c>
      <c r="C93" s="6" t="s">
        <v>34</v>
      </c>
      <c r="D93" s="6" t="s">
        <v>30</v>
      </c>
      <c r="E93" s="6" t="s">
        <v>45</v>
      </c>
      <c r="F93" s="6" t="s">
        <v>102</v>
      </c>
      <c r="G93" s="6" t="s">
        <v>72</v>
      </c>
      <c r="H93" s="0" t="n">
        <v>4</v>
      </c>
      <c r="I93" s="7" t="n">
        <v>3200</v>
      </c>
      <c r="J93" s="0" t="n">
        <v>0</v>
      </c>
      <c r="K93" s="7" t="n">
        <f aca="false">H93*I93*(1-J93/100)</f>
        <v>12800</v>
      </c>
      <c r="L93" s="7" t="n">
        <f aca="false">K93*0.63</f>
        <v>8064</v>
      </c>
      <c r="M93" s="7" t="n">
        <f aca="false">K93-L93</f>
        <v>4736</v>
      </c>
    </row>
    <row r="94" customFormat="false" ht="15" hidden="false" customHeight="false" outlineLevel="0" collapsed="false">
      <c r="A94" s="2" t="s">
        <v>153</v>
      </c>
      <c r="B94" s="3" t="n">
        <v>45676</v>
      </c>
      <c r="C94" s="2" t="s">
        <v>29</v>
      </c>
      <c r="D94" s="2" t="s">
        <v>15</v>
      </c>
      <c r="E94" s="2" t="s">
        <v>25</v>
      </c>
      <c r="F94" s="2" t="s">
        <v>56</v>
      </c>
      <c r="G94" s="2" t="s">
        <v>74</v>
      </c>
      <c r="H94" s="2" t="n">
        <v>10</v>
      </c>
      <c r="I94" s="4" t="n">
        <v>120000</v>
      </c>
      <c r="J94" s="2" t="n">
        <v>0</v>
      </c>
      <c r="K94" s="4" t="n">
        <f aca="false">H94*I94*(1-J94/100)</f>
        <v>1200000</v>
      </c>
      <c r="L94" s="4" t="n">
        <f aca="false">K94*0.75</f>
        <v>900000</v>
      </c>
      <c r="M94" s="4" t="n">
        <f aca="false">K94-L94</f>
        <v>300000</v>
      </c>
    </row>
    <row r="95" customFormat="false" ht="15" hidden="false" customHeight="false" outlineLevel="0" collapsed="false">
      <c r="A95" s="0" t="s">
        <v>154</v>
      </c>
      <c r="B95" s="5" t="n">
        <v>45675</v>
      </c>
      <c r="C95" s="6" t="s">
        <v>29</v>
      </c>
      <c r="D95" s="6" t="s">
        <v>37</v>
      </c>
      <c r="E95" s="6" t="s">
        <v>38</v>
      </c>
      <c r="F95" s="6" t="s">
        <v>63</v>
      </c>
      <c r="G95" s="6" t="s">
        <v>74</v>
      </c>
      <c r="H95" s="0" t="n">
        <v>8</v>
      </c>
      <c r="I95" s="7" t="n">
        <v>450</v>
      </c>
      <c r="J95" s="0" t="n">
        <v>20</v>
      </c>
      <c r="K95" s="7" t="n">
        <f aca="false">H95*I95*(1-J95/100)</f>
        <v>2880</v>
      </c>
      <c r="L95" s="7" t="n">
        <f aca="false">K95*0.63</f>
        <v>1814.4</v>
      </c>
      <c r="M95" s="7" t="n">
        <f aca="false">K95-L95</f>
        <v>1065.6</v>
      </c>
    </row>
    <row r="96" customFormat="false" ht="15" hidden="false" customHeight="false" outlineLevel="0" collapsed="false">
      <c r="A96" s="2" t="s">
        <v>155</v>
      </c>
      <c r="B96" s="3" t="n">
        <v>45698</v>
      </c>
      <c r="C96" s="2" t="s">
        <v>34</v>
      </c>
      <c r="D96" s="2" t="s">
        <v>20</v>
      </c>
      <c r="E96" s="2" t="s">
        <v>21</v>
      </c>
      <c r="F96" s="2" t="s">
        <v>31</v>
      </c>
      <c r="G96" s="2" t="s">
        <v>74</v>
      </c>
      <c r="H96" s="2" t="n">
        <v>20</v>
      </c>
      <c r="I96" s="4" t="n">
        <v>62000</v>
      </c>
      <c r="J96" s="2" t="n">
        <v>0</v>
      </c>
      <c r="K96" s="4" t="n">
        <f aca="false">H96*I96*(1-J96/100)</f>
        <v>1240000</v>
      </c>
      <c r="L96" s="4" t="n">
        <f aca="false">K96*0.67</f>
        <v>830800</v>
      </c>
      <c r="M96" s="4" t="n">
        <f aca="false">K96-L96</f>
        <v>409200</v>
      </c>
    </row>
    <row r="97" customFormat="false" ht="15" hidden="false" customHeight="false" outlineLevel="0" collapsed="false">
      <c r="A97" s="0" t="s">
        <v>156</v>
      </c>
      <c r="B97" s="5" t="n">
        <v>45720</v>
      </c>
      <c r="C97" s="6" t="s">
        <v>14</v>
      </c>
      <c r="D97" s="6" t="s">
        <v>30</v>
      </c>
      <c r="E97" s="6" t="s">
        <v>25</v>
      </c>
      <c r="F97" s="6" t="s">
        <v>51</v>
      </c>
      <c r="G97" s="6" t="s">
        <v>43</v>
      </c>
      <c r="H97" s="0" t="n">
        <v>6</v>
      </c>
      <c r="I97" s="7" t="n">
        <v>8500</v>
      </c>
      <c r="J97" s="0" t="n">
        <v>5</v>
      </c>
      <c r="K97" s="7" t="n">
        <f aca="false">H97*I97*(1-J97/100)</f>
        <v>48450</v>
      </c>
      <c r="L97" s="7" t="n">
        <f aca="false">K97*0.58</f>
        <v>28101</v>
      </c>
      <c r="M97" s="7" t="n">
        <f aca="false">K97-L97</f>
        <v>20349</v>
      </c>
    </row>
    <row r="98" customFormat="false" ht="15" hidden="false" customHeight="false" outlineLevel="0" collapsed="false">
      <c r="A98" s="2" t="s">
        <v>157</v>
      </c>
      <c r="B98" s="3" t="n">
        <v>45663</v>
      </c>
      <c r="C98" s="2" t="s">
        <v>29</v>
      </c>
      <c r="D98" s="2" t="s">
        <v>15</v>
      </c>
      <c r="E98" s="2" t="s">
        <v>21</v>
      </c>
      <c r="F98" s="2" t="s">
        <v>84</v>
      </c>
      <c r="G98" s="2" t="s">
        <v>74</v>
      </c>
      <c r="H98" s="2" t="n">
        <v>16</v>
      </c>
      <c r="I98" s="4" t="n">
        <v>38000</v>
      </c>
      <c r="J98" s="2" t="n">
        <v>10</v>
      </c>
      <c r="K98" s="4" t="n">
        <f aca="false">H98*I98*(1-J98/100)</f>
        <v>547200</v>
      </c>
      <c r="L98" s="4" t="n">
        <f aca="false">K98*0.56</f>
        <v>306432</v>
      </c>
      <c r="M98" s="4" t="n">
        <f aca="false">K98-L98</f>
        <v>240768</v>
      </c>
    </row>
    <row r="99" customFormat="false" ht="15" hidden="false" customHeight="false" outlineLevel="0" collapsed="false">
      <c r="A99" s="0" t="s">
        <v>158</v>
      </c>
      <c r="B99" s="5" t="n">
        <v>45711</v>
      </c>
      <c r="C99" s="6" t="s">
        <v>34</v>
      </c>
      <c r="D99" s="6" t="s">
        <v>41</v>
      </c>
      <c r="E99" s="6" t="s">
        <v>21</v>
      </c>
      <c r="F99" s="6" t="s">
        <v>22</v>
      </c>
      <c r="G99" s="6" t="s">
        <v>18</v>
      </c>
      <c r="H99" s="0" t="n">
        <v>9</v>
      </c>
      <c r="I99" s="7" t="n">
        <v>85000</v>
      </c>
      <c r="J99" s="0" t="n">
        <v>20</v>
      </c>
      <c r="K99" s="7" t="n">
        <f aca="false">H99*I99*(1-J99/100)</f>
        <v>612000</v>
      </c>
      <c r="L99" s="7" t="n">
        <f aca="false">K99*0.68</f>
        <v>416160</v>
      </c>
      <c r="M99" s="7" t="n">
        <f aca="false">K99-L99</f>
        <v>195840</v>
      </c>
    </row>
    <row r="100" customFormat="false" ht="15" hidden="false" customHeight="false" outlineLevel="0" collapsed="false">
      <c r="A100" s="2" t="s">
        <v>159</v>
      </c>
      <c r="B100" s="3" t="n">
        <v>45671</v>
      </c>
      <c r="C100" s="2" t="s">
        <v>29</v>
      </c>
      <c r="D100" s="2" t="s">
        <v>15</v>
      </c>
      <c r="E100" s="2" t="s">
        <v>38</v>
      </c>
      <c r="F100" s="2" t="s">
        <v>42</v>
      </c>
      <c r="G100" s="2" t="s">
        <v>49</v>
      </c>
      <c r="H100" s="2" t="n">
        <v>9</v>
      </c>
      <c r="I100" s="4" t="n">
        <v>800</v>
      </c>
      <c r="J100" s="2" t="n">
        <v>5</v>
      </c>
      <c r="K100" s="4" t="n">
        <f aca="false">H100*I100*(1-J100/100)</f>
        <v>6840</v>
      </c>
      <c r="L100" s="4" t="n">
        <f aca="false">K100*0.56</f>
        <v>3830.4</v>
      </c>
      <c r="M100" s="4" t="n">
        <f aca="false">K100-L100</f>
        <v>3009.6</v>
      </c>
    </row>
    <row r="101" customFormat="false" ht="15" hidden="false" customHeight="false" outlineLevel="0" collapsed="false">
      <c r="A101" s="0" t="s">
        <v>160</v>
      </c>
      <c r="B101" s="5" t="n">
        <v>45683</v>
      </c>
      <c r="C101" s="6" t="s">
        <v>29</v>
      </c>
      <c r="D101" s="6" t="s">
        <v>41</v>
      </c>
      <c r="E101" s="6" t="s">
        <v>38</v>
      </c>
      <c r="F101" s="6" t="s">
        <v>63</v>
      </c>
      <c r="G101" s="6" t="s">
        <v>32</v>
      </c>
      <c r="H101" s="0" t="n">
        <v>15</v>
      </c>
      <c r="I101" s="7" t="n">
        <v>450</v>
      </c>
      <c r="J101" s="0" t="n">
        <v>0</v>
      </c>
      <c r="K101" s="7" t="n">
        <f aca="false">H101*I101*(1-J101/100)</f>
        <v>6750</v>
      </c>
      <c r="L101" s="7" t="n">
        <f aca="false">K101*0.64</f>
        <v>4320</v>
      </c>
      <c r="M101" s="7" t="n">
        <f aca="false">K101-L101</f>
        <v>2430</v>
      </c>
    </row>
    <row r="102" customFormat="false" ht="15" hidden="false" customHeight="false" outlineLevel="0" collapsed="false">
      <c r="A102" s="2" t="s">
        <v>161</v>
      </c>
      <c r="B102" s="3" t="n">
        <v>45711</v>
      </c>
      <c r="C102" s="2" t="s">
        <v>34</v>
      </c>
      <c r="D102" s="2" t="s">
        <v>37</v>
      </c>
      <c r="E102" s="2" t="s">
        <v>16</v>
      </c>
      <c r="F102" s="2" t="s">
        <v>58</v>
      </c>
      <c r="G102" s="2" t="s">
        <v>69</v>
      </c>
      <c r="H102" s="2" t="n">
        <v>16</v>
      </c>
      <c r="I102" s="4" t="n">
        <v>200</v>
      </c>
      <c r="J102" s="2" t="n">
        <v>15</v>
      </c>
      <c r="K102" s="4" t="n">
        <f aca="false">H102*I102*(1-J102/100)</f>
        <v>2720</v>
      </c>
      <c r="L102" s="4" t="n">
        <f aca="false">K102*0.57</f>
        <v>1550.4</v>
      </c>
      <c r="M102" s="4" t="n">
        <f aca="false">K102-L102</f>
        <v>1169.6</v>
      </c>
    </row>
    <row r="103" customFormat="false" ht="15" hidden="false" customHeight="false" outlineLevel="0" collapsed="false">
      <c r="A103" s="0" t="s">
        <v>162</v>
      </c>
      <c r="B103" s="5" t="n">
        <v>45671</v>
      </c>
      <c r="C103" s="6" t="s">
        <v>29</v>
      </c>
      <c r="D103" s="6" t="s">
        <v>41</v>
      </c>
      <c r="E103" s="6" t="s">
        <v>38</v>
      </c>
      <c r="F103" s="6" t="s">
        <v>116</v>
      </c>
      <c r="G103" s="6" t="s">
        <v>23</v>
      </c>
      <c r="H103" s="0" t="n">
        <v>3</v>
      </c>
      <c r="I103" s="7" t="n">
        <v>2200</v>
      </c>
      <c r="J103" s="0" t="n">
        <v>5</v>
      </c>
      <c r="K103" s="7" t="n">
        <f aca="false">H103*I103*(1-J103/100)</f>
        <v>6270</v>
      </c>
      <c r="L103" s="7" t="n">
        <f aca="false">K103*0.74</f>
        <v>4639.8</v>
      </c>
      <c r="M103" s="7" t="n">
        <f aca="false">K103-L103</f>
        <v>1630.2</v>
      </c>
    </row>
    <row r="104" customFormat="false" ht="15" hidden="false" customHeight="false" outlineLevel="0" collapsed="false">
      <c r="A104" s="2" t="s">
        <v>163</v>
      </c>
      <c r="B104" s="3" t="n">
        <v>45735</v>
      </c>
      <c r="C104" s="2" t="s">
        <v>14</v>
      </c>
      <c r="D104" s="2" t="s">
        <v>15</v>
      </c>
      <c r="E104" s="2" t="s">
        <v>16</v>
      </c>
      <c r="F104" s="2" t="s">
        <v>58</v>
      </c>
      <c r="G104" s="2" t="s">
        <v>23</v>
      </c>
      <c r="H104" s="2" t="n">
        <v>6</v>
      </c>
      <c r="I104" s="4" t="n">
        <v>200</v>
      </c>
      <c r="J104" s="2" t="n">
        <v>15</v>
      </c>
      <c r="K104" s="4" t="n">
        <f aca="false">H104*I104*(1-J104/100)</f>
        <v>1020</v>
      </c>
      <c r="L104" s="4" t="n">
        <f aca="false">K104*0.65</f>
        <v>663</v>
      </c>
      <c r="M104" s="4" t="n">
        <f aca="false">K104-L104</f>
        <v>357</v>
      </c>
    </row>
    <row r="105" customFormat="false" ht="15" hidden="false" customHeight="false" outlineLevel="0" collapsed="false">
      <c r="A105" s="0" t="s">
        <v>164</v>
      </c>
      <c r="B105" s="5" t="n">
        <v>45697</v>
      </c>
      <c r="C105" s="6" t="s">
        <v>34</v>
      </c>
      <c r="D105" s="6" t="s">
        <v>30</v>
      </c>
      <c r="E105" s="6" t="s">
        <v>38</v>
      </c>
      <c r="F105" s="6" t="s">
        <v>100</v>
      </c>
      <c r="G105" s="6" t="s">
        <v>72</v>
      </c>
      <c r="H105" s="0" t="n">
        <v>3</v>
      </c>
      <c r="I105" s="7" t="n">
        <v>650</v>
      </c>
      <c r="J105" s="0" t="n">
        <v>15</v>
      </c>
      <c r="K105" s="7" t="n">
        <f aca="false">H105*I105*(1-J105/100)</f>
        <v>1657.5</v>
      </c>
      <c r="L105" s="7" t="n">
        <f aca="false">K105*0.62</f>
        <v>1027.65</v>
      </c>
      <c r="M105" s="7" t="n">
        <f aca="false">K105-L105</f>
        <v>629.85</v>
      </c>
    </row>
    <row r="106" customFormat="false" ht="15" hidden="false" customHeight="false" outlineLevel="0" collapsed="false">
      <c r="A106" s="2" t="s">
        <v>165</v>
      </c>
      <c r="B106" s="3" t="n">
        <v>45699</v>
      </c>
      <c r="C106" s="2" t="s">
        <v>34</v>
      </c>
      <c r="D106" s="2" t="s">
        <v>15</v>
      </c>
      <c r="E106" s="2" t="s">
        <v>25</v>
      </c>
      <c r="F106" s="2" t="s">
        <v>51</v>
      </c>
      <c r="G106" s="2" t="s">
        <v>27</v>
      </c>
      <c r="H106" s="2" t="n">
        <v>16</v>
      </c>
      <c r="I106" s="4" t="n">
        <v>8500</v>
      </c>
      <c r="J106" s="2" t="n">
        <v>10</v>
      </c>
      <c r="K106" s="4" t="n">
        <f aca="false">H106*I106*(1-J106/100)</f>
        <v>122400</v>
      </c>
      <c r="L106" s="4" t="n">
        <f aca="false">K106*0.68</f>
        <v>83232</v>
      </c>
      <c r="M106" s="4" t="n">
        <f aca="false">K106-L106</f>
        <v>39168</v>
      </c>
    </row>
    <row r="107" customFormat="false" ht="15" hidden="false" customHeight="false" outlineLevel="0" collapsed="false">
      <c r="A107" s="0" t="s">
        <v>166</v>
      </c>
      <c r="B107" s="5" t="n">
        <v>45715</v>
      </c>
      <c r="C107" s="6" t="s">
        <v>34</v>
      </c>
      <c r="D107" s="6" t="s">
        <v>20</v>
      </c>
      <c r="E107" s="6" t="s">
        <v>45</v>
      </c>
      <c r="F107" s="6" t="s">
        <v>46</v>
      </c>
      <c r="G107" s="6" t="s">
        <v>43</v>
      </c>
      <c r="H107" s="0" t="n">
        <v>11</v>
      </c>
      <c r="I107" s="7" t="n">
        <v>900</v>
      </c>
      <c r="J107" s="0" t="n">
        <v>10</v>
      </c>
      <c r="K107" s="7" t="n">
        <f aca="false">H107*I107*(1-J107/100)</f>
        <v>8910</v>
      </c>
      <c r="L107" s="7" t="n">
        <f aca="false">K107*0.61</f>
        <v>5435.1</v>
      </c>
      <c r="M107" s="7" t="n">
        <f aca="false">K107-L107</f>
        <v>3474.9</v>
      </c>
    </row>
    <row r="108" customFormat="false" ht="15" hidden="false" customHeight="false" outlineLevel="0" collapsed="false">
      <c r="A108" s="2" t="s">
        <v>167</v>
      </c>
      <c r="B108" s="3" t="n">
        <v>45716</v>
      </c>
      <c r="C108" s="2" t="s">
        <v>34</v>
      </c>
      <c r="D108" s="2" t="s">
        <v>20</v>
      </c>
      <c r="E108" s="2" t="s">
        <v>45</v>
      </c>
      <c r="F108" s="2" t="s">
        <v>48</v>
      </c>
      <c r="G108" s="2" t="s">
        <v>72</v>
      </c>
      <c r="H108" s="2" t="n">
        <v>14</v>
      </c>
      <c r="I108" s="4" t="n">
        <v>700</v>
      </c>
      <c r="J108" s="2" t="n">
        <v>0</v>
      </c>
      <c r="K108" s="4" t="n">
        <f aca="false">H108*I108*(1-J108/100)</f>
        <v>9800</v>
      </c>
      <c r="L108" s="4" t="n">
        <f aca="false">K108*0.59</f>
        <v>5782</v>
      </c>
      <c r="M108" s="4" t="n">
        <f aca="false">K108-L108</f>
        <v>4018</v>
      </c>
    </row>
    <row r="109" customFormat="false" ht="15" hidden="false" customHeight="false" outlineLevel="0" collapsed="false">
      <c r="A109" s="0" t="s">
        <v>168</v>
      </c>
      <c r="B109" s="5" t="n">
        <v>45708</v>
      </c>
      <c r="C109" s="6" t="s">
        <v>34</v>
      </c>
      <c r="D109" s="6" t="s">
        <v>37</v>
      </c>
      <c r="E109" s="6" t="s">
        <v>21</v>
      </c>
      <c r="F109" s="6" t="s">
        <v>22</v>
      </c>
      <c r="G109" s="6" t="s">
        <v>18</v>
      </c>
      <c r="H109" s="0" t="n">
        <v>9</v>
      </c>
      <c r="I109" s="7" t="n">
        <v>85000</v>
      </c>
      <c r="J109" s="0" t="n">
        <v>20</v>
      </c>
      <c r="K109" s="7" t="n">
        <f aca="false">H109*I109*(1-J109/100)</f>
        <v>612000</v>
      </c>
      <c r="L109" s="7" t="n">
        <f aca="false">K109*0.58</f>
        <v>354960</v>
      </c>
      <c r="M109" s="7" t="n">
        <f aca="false">K109-L109</f>
        <v>257040</v>
      </c>
    </row>
    <row r="110" customFormat="false" ht="15" hidden="false" customHeight="false" outlineLevel="0" collapsed="false">
      <c r="A110" s="2" t="s">
        <v>169</v>
      </c>
      <c r="B110" s="3" t="n">
        <v>45703</v>
      </c>
      <c r="C110" s="2" t="s">
        <v>34</v>
      </c>
      <c r="D110" s="2" t="s">
        <v>37</v>
      </c>
      <c r="E110" s="2" t="s">
        <v>45</v>
      </c>
      <c r="F110" s="2" t="s">
        <v>76</v>
      </c>
      <c r="G110" s="2" t="s">
        <v>74</v>
      </c>
      <c r="H110" s="2" t="n">
        <v>8</v>
      </c>
      <c r="I110" s="4" t="n">
        <v>2500</v>
      </c>
      <c r="J110" s="2" t="n">
        <v>5</v>
      </c>
      <c r="K110" s="4" t="n">
        <f aca="false">H110*I110*(1-J110/100)</f>
        <v>19000</v>
      </c>
      <c r="L110" s="4" t="n">
        <f aca="false">K110*0.61</f>
        <v>11590</v>
      </c>
      <c r="M110" s="4" t="n">
        <f aca="false">K110-L110</f>
        <v>7410</v>
      </c>
    </row>
    <row r="111" customFormat="false" ht="15" hidden="false" customHeight="false" outlineLevel="0" collapsed="false">
      <c r="A111" s="0" t="s">
        <v>170</v>
      </c>
      <c r="B111" s="5" t="n">
        <v>45675</v>
      </c>
      <c r="C111" s="6" t="s">
        <v>29</v>
      </c>
      <c r="D111" s="6" t="s">
        <v>37</v>
      </c>
      <c r="E111" s="6" t="s">
        <v>45</v>
      </c>
      <c r="F111" s="6" t="s">
        <v>93</v>
      </c>
      <c r="G111" s="6" t="s">
        <v>43</v>
      </c>
      <c r="H111" s="0" t="n">
        <v>15</v>
      </c>
      <c r="I111" s="7" t="n">
        <v>1800</v>
      </c>
      <c r="J111" s="0" t="n">
        <v>0</v>
      </c>
      <c r="K111" s="7" t="n">
        <f aca="false">H111*I111*(1-J111/100)</f>
        <v>27000</v>
      </c>
      <c r="L111" s="7" t="n">
        <f aca="false">K111*0.68</f>
        <v>18360</v>
      </c>
      <c r="M111" s="7" t="n">
        <f aca="false">K111-L111</f>
        <v>8640</v>
      </c>
    </row>
    <row r="112" customFormat="false" ht="15" hidden="false" customHeight="false" outlineLevel="0" collapsed="false">
      <c r="A112" s="2" t="s">
        <v>171</v>
      </c>
      <c r="B112" s="3" t="n">
        <v>45673</v>
      </c>
      <c r="C112" s="2" t="s">
        <v>29</v>
      </c>
      <c r="D112" s="2" t="s">
        <v>41</v>
      </c>
      <c r="E112" s="2" t="s">
        <v>38</v>
      </c>
      <c r="F112" s="2" t="s">
        <v>116</v>
      </c>
      <c r="G112" s="2" t="s">
        <v>27</v>
      </c>
      <c r="H112" s="2" t="n">
        <v>16</v>
      </c>
      <c r="I112" s="4" t="n">
        <v>2200</v>
      </c>
      <c r="J112" s="2" t="n">
        <v>15</v>
      </c>
      <c r="K112" s="4" t="n">
        <f aca="false">H112*I112*(1-J112/100)</f>
        <v>29920</v>
      </c>
      <c r="L112" s="4" t="n">
        <f aca="false">K112*0.6</f>
        <v>17952</v>
      </c>
      <c r="M112" s="4" t="n">
        <f aca="false">K112-L112</f>
        <v>11968</v>
      </c>
    </row>
    <row r="113" customFormat="false" ht="15" hidden="false" customHeight="false" outlineLevel="0" collapsed="false">
      <c r="A113" s="0" t="s">
        <v>172</v>
      </c>
      <c r="B113" s="5" t="n">
        <v>45721</v>
      </c>
      <c r="C113" s="6" t="s">
        <v>14</v>
      </c>
      <c r="D113" s="6" t="s">
        <v>37</v>
      </c>
      <c r="E113" s="6" t="s">
        <v>25</v>
      </c>
      <c r="F113" s="6" t="s">
        <v>26</v>
      </c>
      <c r="G113" s="6" t="s">
        <v>69</v>
      </c>
      <c r="H113" s="0" t="n">
        <v>5</v>
      </c>
      <c r="I113" s="7" t="n">
        <v>22000</v>
      </c>
      <c r="J113" s="0" t="n">
        <v>0</v>
      </c>
      <c r="K113" s="7" t="n">
        <f aca="false">H113*I113*(1-J113/100)</f>
        <v>110000</v>
      </c>
      <c r="L113" s="7" t="n">
        <f aca="false">K113*0.61</f>
        <v>67100</v>
      </c>
      <c r="M113" s="7" t="n">
        <f aca="false">K113-L113</f>
        <v>42900</v>
      </c>
    </row>
    <row r="114" customFormat="false" ht="15" hidden="false" customHeight="false" outlineLevel="0" collapsed="false">
      <c r="A114" s="2" t="s">
        <v>173</v>
      </c>
      <c r="B114" s="3" t="n">
        <v>45699</v>
      </c>
      <c r="C114" s="2" t="s">
        <v>34</v>
      </c>
      <c r="D114" s="2" t="s">
        <v>20</v>
      </c>
      <c r="E114" s="2" t="s">
        <v>16</v>
      </c>
      <c r="F114" s="2" t="s">
        <v>98</v>
      </c>
      <c r="G114" s="2" t="s">
        <v>32</v>
      </c>
      <c r="H114" s="2" t="n">
        <v>10</v>
      </c>
      <c r="I114" s="4" t="n">
        <v>350</v>
      </c>
      <c r="J114" s="2" t="n">
        <v>20</v>
      </c>
      <c r="K114" s="4" t="n">
        <f aca="false">H114*I114*(1-J114/100)</f>
        <v>2800</v>
      </c>
      <c r="L114" s="4" t="n">
        <f aca="false">K114*0.67</f>
        <v>1876</v>
      </c>
      <c r="M114" s="4" t="n">
        <f aca="false">K114-L114</f>
        <v>924</v>
      </c>
    </row>
    <row r="115" customFormat="false" ht="15" hidden="false" customHeight="false" outlineLevel="0" collapsed="false">
      <c r="A115" s="0" t="s">
        <v>174</v>
      </c>
      <c r="B115" s="5" t="n">
        <v>45732</v>
      </c>
      <c r="C115" s="6" t="s">
        <v>14</v>
      </c>
      <c r="D115" s="6" t="s">
        <v>30</v>
      </c>
      <c r="E115" s="6" t="s">
        <v>21</v>
      </c>
      <c r="F115" s="6" t="s">
        <v>71</v>
      </c>
      <c r="G115" s="6" t="s">
        <v>72</v>
      </c>
      <c r="H115" s="0" t="n">
        <v>12</v>
      </c>
      <c r="I115" s="7" t="n">
        <v>12000</v>
      </c>
      <c r="J115" s="0" t="n">
        <v>10</v>
      </c>
      <c r="K115" s="7" t="n">
        <f aca="false">H115*I115*(1-J115/100)</f>
        <v>129600</v>
      </c>
      <c r="L115" s="7" t="n">
        <f aca="false">K115*0.66</f>
        <v>85536</v>
      </c>
      <c r="M115" s="7" t="n">
        <f aca="false">K115-L115</f>
        <v>44064</v>
      </c>
    </row>
    <row r="116" customFormat="false" ht="15" hidden="false" customHeight="false" outlineLevel="0" collapsed="false">
      <c r="A116" s="2" t="s">
        <v>175</v>
      </c>
      <c r="B116" s="3" t="n">
        <v>45729</v>
      </c>
      <c r="C116" s="2" t="s">
        <v>14</v>
      </c>
      <c r="D116" s="2" t="s">
        <v>37</v>
      </c>
      <c r="E116" s="2" t="s">
        <v>16</v>
      </c>
      <c r="F116" s="2" t="s">
        <v>17</v>
      </c>
      <c r="G116" s="2" t="s">
        <v>18</v>
      </c>
      <c r="H116" s="2" t="n">
        <v>19</v>
      </c>
      <c r="I116" s="4" t="n">
        <v>1800</v>
      </c>
      <c r="J116" s="2" t="n">
        <v>15</v>
      </c>
      <c r="K116" s="4" t="n">
        <f aca="false">H116*I116*(1-J116/100)</f>
        <v>29070</v>
      </c>
      <c r="L116" s="4" t="n">
        <f aca="false">K116*0.6</f>
        <v>17442</v>
      </c>
      <c r="M116" s="4" t="n">
        <f aca="false">K116-L116</f>
        <v>11628</v>
      </c>
    </row>
    <row r="117" customFormat="false" ht="15" hidden="false" customHeight="false" outlineLevel="0" collapsed="false">
      <c r="A117" s="0" t="s">
        <v>176</v>
      </c>
      <c r="B117" s="5" t="n">
        <v>45690</v>
      </c>
      <c r="C117" s="6" t="s">
        <v>34</v>
      </c>
      <c r="D117" s="6" t="s">
        <v>41</v>
      </c>
      <c r="E117" s="6" t="s">
        <v>21</v>
      </c>
      <c r="F117" s="6" t="s">
        <v>84</v>
      </c>
      <c r="G117" s="6" t="s">
        <v>27</v>
      </c>
      <c r="H117" s="0" t="n">
        <v>5</v>
      </c>
      <c r="I117" s="7" t="n">
        <v>38000</v>
      </c>
      <c r="J117" s="0" t="n">
        <v>15</v>
      </c>
      <c r="K117" s="7" t="n">
        <f aca="false">H117*I117*(1-J117/100)</f>
        <v>161500</v>
      </c>
      <c r="L117" s="7" t="n">
        <f aca="false">K117*0.74</f>
        <v>119510</v>
      </c>
      <c r="M117" s="7" t="n">
        <f aca="false">K117-L117</f>
        <v>41990</v>
      </c>
    </row>
    <row r="118" customFormat="false" ht="15" hidden="false" customHeight="false" outlineLevel="0" collapsed="false">
      <c r="A118" s="2" t="s">
        <v>177</v>
      </c>
      <c r="B118" s="3" t="n">
        <v>45674</v>
      </c>
      <c r="C118" s="2" t="s">
        <v>29</v>
      </c>
      <c r="D118" s="2" t="s">
        <v>20</v>
      </c>
      <c r="E118" s="2" t="s">
        <v>16</v>
      </c>
      <c r="F118" s="2" t="s">
        <v>98</v>
      </c>
      <c r="G118" s="2" t="s">
        <v>72</v>
      </c>
      <c r="H118" s="2" t="n">
        <v>4</v>
      </c>
      <c r="I118" s="4" t="n">
        <v>350</v>
      </c>
      <c r="J118" s="2" t="n">
        <v>20</v>
      </c>
      <c r="K118" s="4" t="n">
        <f aca="false">H118*I118*(1-J118/100)</f>
        <v>1120</v>
      </c>
      <c r="L118" s="4" t="n">
        <f aca="false">K118*0.73</f>
        <v>817.6</v>
      </c>
      <c r="M118" s="4" t="n">
        <f aca="false">K118-L118</f>
        <v>302.4</v>
      </c>
    </row>
    <row r="119" customFormat="false" ht="15" hidden="false" customHeight="false" outlineLevel="0" collapsed="false">
      <c r="A119" s="0" t="s">
        <v>178</v>
      </c>
      <c r="B119" s="5" t="n">
        <v>45681</v>
      </c>
      <c r="C119" s="6" t="s">
        <v>29</v>
      </c>
      <c r="D119" s="6" t="s">
        <v>30</v>
      </c>
      <c r="E119" s="6" t="s">
        <v>21</v>
      </c>
      <c r="F119" s="6" t="s">
        <v>68</v>
      </c>
      <c r="G119" s="6" t="s">
        <v>43</v>
      </c>
      <c r="H119" s="0" t="n">
        <v>16</v>
      </c>
      <c r="I119" s="7" t="n">
        <v>45000</v>
      </c>
      <c r="J119" s="0" t="n">
        <v>10</v>
      </c>
      <c r="K119" s="7" t="n">
        <f aca="false">H119*I119*(1-J119/100)</f>
        <v>648000</v>
      </c>
      <c r="L119" s="7" t="n">
        <f aca="false">K119*0.62</f>
        <v>401760</v>
      </c>
      <c r="M119" s="7" t="n">
        <f aca="false">K119-L119</f>
        <v>246240</v>
      </c>
    </row>
    <row r="120" customFormat="false" ht="15" hidden="false" customHeight="false" outlineLevel="0" collapsed="false">
      <c r="A120" s="2" t="s">
        <v>179</v>
      </c>
      <c r="B120" s="3" t="n">
        <v>45729</v>
      </c>
      <c r="C120" s="2" t="s">
        <v>14</v>
      </c>
      <c r="D120" s="2" t="s">
        <v>15</v>
      </c>
      <c r="E120" s="2" t="s">
        <v>16</v>
      </c>
      <c r="F120" s="2" t="s">
        <v>58</v>
      </c>
      <c r="G120" s="2" t="s">
        <v>27</v>
      </c>
      <c r="H120" s="2" t="n">
        <v>11</v>
      </c>
      <c r="I120" s="4" t="n">
        <v>200</v>
      </c>
      <c r="J120" s="2" t="n">
        <v>15</v>
      </c>
      <c r="K120" s="4" t="n">
        <f aca="false">H120*I120*(1-J120/100)</f>
        <v>1870</v>
      </c>
      <c r="L120" s="4" t="n">
        <f aca="false">K120*0.72</f>
        <v>1346.4</v>
      </c>
      <c r="M120" s="4" t="n">
        <f aca="false">K120-L120</f>
        <v>523.6</v>
      </c>
    </row>
    <row r="121" customFormat="false" ht="15" hidden="false" customHeight="false" outlineLevel="0" collapsed="false">
      <c r="A121" s="0" t="s">
        <v>180</v>
      </c>
      <c r="B121" s="5" t="n">
        <v>45677</v>
      </c>
      <c r="C121" s="6" t="s">
        <v>29</v>
      </c>
      <c r="D121" s="6" t="s">
        <v>15</v>
      </c>
      <c r="E121" s="6" t="s">
        <v>25</v>
      </c>
      <c r="F121" s="6" t="s">
        <v>51</v>
      </c>
      <c r="G121" s="6" t="s">
        <v>18</v>
      </c>
      <c r="H121" s="0" t="n">
        <v>3</v>
      </c>
      <c r="I121" s="7" t="n">
        <v>8500</v>
      </c>
      <c r="J121" s="0" t="n">
        <v>15</v>
      </c>
      <c r="K121" s="7" t="n">
        <f aca="false">H121*I121*(1-J121/100)</f>
        <v>21675</v>
      </c>
      <c r="L121" s="7" t="n">
        <f aca="false">K121*0.75</f>
        <v>16256.25</v>
      </c>
      <c r="M121" s="7" t="n">
        <f aca="false">K121-L121</f>
        <v>5418.75</v>
      </c>
    </row>
    <row r="122" customFormat="false" ht="15" hidden="false" customHeight="false" outlineLevel="0" collapsed="false">
      <c r="A122" s="2" t="s">
        <v>181</v>
      </c>
      <c r="B122" s="3" t="n">
        <v>45739</v>
      </c>
      <c r="C122" s="2" t="s">
        <v>14</v>
      </c>
      <c r="D122" s="2" t="s">
        <v>15</v>
      </c>
      <c r="E122" s="2" t="s">
        <v>21</v>
      </c>
      <c r="F122" s="2" t="s">
        <v>68</v>
      </c>
      <c r="G122" s="2" t="s">
        <v>32</v>
      </c>
      <c r="H122" s="2" t="n">
        <v>1</v>
      </c>
      <c r="I122" s="4" t="n">
        <v>45000</v>
      </c>
      <c r="J122" s="2" t="n">
        <v>0</v>
      </c>
      <c r="K122" s="4" t="n">
        <f aca="false">H122*I122*(1-J122/100)</f>
        <v>45000</v>
      </c>
      <c r="L122" s="4" t="n">
        <f aca="false">K122*0.61</f>
        <v>27450</v>
      </c>
      <c r="M122" s="4" t="n">
        <f aca="false">K122-L122</f>
        <v>17550</v>
      </c>
    </row>
    <row r="123" customFormat="false" ht="15" hidden="false" customHeight="false" outlineLevel="0" collapsed="false">
      <c r="A123" s="0" t="s">
        <v>182</v>
      </c>
      <c r="B123" s="5" t="n">
        <v>45667</v>
      </c>
      <c r="C123" s="6" t="s">
        <v>29</v>
      </c>
      <c r="D123" s="6" t="s">
        <v>41</v>
      </c>
      <c r="E123" s="6" t="s">
        <v>16</v>
      </c>
      <c r="F123" s="6" t="s">
        <v>60</v>
      </c>
      <c r="G123" s="6" t="s">
        <v>49</v>
      </c>
      <c r="H123" s="0" t="n">
        <v>8</v>
      </c>
      <c r="I123" s="7" t="n">
        <v>650</v>
      </c>
      <c r="J123" s="0" t="n">
        <v>20</v>
      </c>
      <c r="K123" s="7" t="n">
        <f aca="false">H123*I123*(1-J123/100)</f>
        <v>4160</v>
      </c>
      <c r="L123" s="7" t="n">
        <f aca="false">K123*0.63</f>
        <v>2620.8</v>
      </c>
      <c r="M123" s="7" t="n">
        <f aca="false">K123-L123</f>
        <v>1539.2</v>
      </c>
    </row>
    <row r="124" customFormat="false" ht="15" hidden="false" customHeight="false" outlineLevel="0" collapsed="false">
      <c r="A124" s="2" t="s">
        <v>183</v>
      </c>
      <c r="B124" s="3" t="n">
        <v>45742</v>
      </c>
      <c r="C124" s="2" t="s">
        <v>14</v>
      </c>
      <c r="D124" s="2" t="s">
        <v>30</v>
      </c>
      <c r="E124" s="2" t="s">
        <v>25</v>
      </c>
      <c r="F124" s="2" t="s">
        <v>56</v>
      </c>
      <c r="G124" s="2" t="s">
        <v>43</v>
      </c>
      <c r="H124" s="2" t="n">
        <v>20</v>
      </c>
      <c r="I124" s="4" t="n">
        <v>120000</v>
      </c>
      <c r="J124" s="2" t="n">
        <v>15</v>
      </c>
      <c r="K124" s="4" t="n">
        <f aca="false">H124*I124*(1-J124/100)</f>
        <v>2040000</v>
      </c>
      <c r="L124" s="4" t="n">
        <f aca="false">K124*0.67</f>
        <v>1366800</v>
      </c>
      <c r="M124" s="4" t="n">
        <f aca="false">K124-L124</f>
        <v>673200</v>
      </c>
    </row>
    <row r="125" customFormat="false" ht="15" hidden="false" customHeight="false" outlineLevel="0" collapsed="false">
      <c r="A125" s="0" t="s">
        <v>184</v>
      </c>
      <c r="B125" s="5" t="n">
        <v>45673</v>
      </c>
      <c r="C125" s="6" t="s">
        <v>29</v>
      </c>
      <c r="D125" s="6" t="s">
        <v>20</v>
      </c>
      <c r="E125" s="6" t="s">
        <v>25</v>
      </c>
      <c r="F125" s="6" t="s">
        <v>56</v>
      </c>
      <c r="G125" s="6" t="s">
        <v>72</v>
      </c>
      <c r="H125" s="0" t="n">
        <v>9</v>
      </c>
      <c r="I125" s="7" t="n">
        <v>120000</v>
      </c>
      <c r="J125" s="0" t="n">
        <v>15</v>
      </c>
      <c r="K125" s="7" t="n">
        <f aca="false">H125*I125*(1-J125/100)</f>
        <v>918000</v>
      </c>
      <c r="L125" s="7" t="n">
        <f aca="false">K125*0.6</f>
        <v>550800</v>
      </c>
      <c r="M125" s="7" t="n">
        <f aca="false">K125-L125</f>
        <v>367200</v>
      </c>
    </row>
    <row r="126" customFormat="false" ht="15" hidden="false" customHeight="false" outlineLevel="0" collapsed="false">
      <c r="A126" s="2" t="s">
        <v>185</v>
      </c>
      <c r="B126" s="3" t="n">
        <v>45683</v>
      </c>
      <c r="C126" s="2" t="s">
        <v>29</v>
      </c>
      <c r="D126" s="2" t="s">
        <v>37</v>
      </c>
      <c r="E126" s="2" t="s">
        <v>16</v>
      </c>
      <c r="F126" s="2" t="s">
        <v>58</v>
      </c>
      <c r="G126" s="2" t="s">
        <v>49</v>
      </c>
      <c r="H126" s="2" t="n">
        <v>3</v>
      </c>
      <c r="I126" s="4" t="n">
        <v>200</v>
      </c>
      <c r="J126" s="2" t="n">
        <v>15</v>
      </c>
      <c r="K126" s="4" t="n">
        <f aca="false">H126*I126*(1-J126/100)</f>
        <v>510</v>
      </c>
      <c r="L126" s="4" t="n">
        <f aca="false">K126*0.74</f>
        <v>377.4</v>
      </c>
      <c r="M126" s="4" t="n">
        <f aca="false">K126-L126</f>
        <v>132.6</v>
      </c>
    </row>
    <row r="127" customFormat="false" ht="15" hidden="false" customHeight="false" outlineLevel="0" collapsed="false">
      <c r="A127" s="0" t="s">
        <v>186</v>
      </c>
      <c r="B127" s="5" t="n">
        <v>45726</v>
      </c>
      <c r="C127" s="6" t="s">
        <v>14</v>
      </c>
      <c r="D127" s="6" t="s">
        <v>37</v>
      </c>
      <c r="E127" s="6" t="s">
        <v>16</v>
      </c>
      <c r="F127" s="6" t="s">
        <v>60</v>
      </c>
      <c r="G127" s="6" t="s">
        <v>32</v>
      </c>
      <c r="H127" s="0" t="n">
        <v>7</v>
      </c>
      <c r="I127" s="7" t="n">
        <v>650</v>
      </c>
      <c r="J127" s="0" t="n">
        <v>15</v>
      </c>
      <c r="K127" s="7" t="n">
        <f aca="false">H127*I127*(1-J127/100)</f>
        <v>3867.5</v>
      </c>
      <c r="L127" s="7" t="n">
        <f aca="false">K127*0.72</f>
        <v>2784.6</v>
      </c>
      <c r="M127" s="7" t="n">
        <f aca="false">K127-L127</f>
        <v>1082.9</v>
      </c>
    </row>
    <row r="128" customFormat="false" ht="15" hidden="false" customHeight="false" outlineLevel="0" collapsed="false">
      <c r="A128" s="2" t="s">
        <v>187</v>
      </c>
      <c r="B128" s="3" t="n">
        <v>45665</v>
      </c>
      <c r="C128" s="2" t="s">
        <v>29</v>
      </c>
      <c r="D128" s="2" t="s">
        <v>37</v>
      </c>
      <c r="E128" s="2" t="s">
        <v>38</v>
      </c>
      <c r="F128" s="2" t="s">
        <v>116</v>
      </c>
      <c r="G128" s="2" t="s">
        <v>74</v>
      </c>
      <c r="H128" s="2" t="n">
        <v>10</v>
      </c>
      <c r="I128" s="4" t="n">
        <v>2200</v>
      </c>
      <c r="J128" s="2" t="n">
        <v>10</v>
      </c>
      <c r="K128" s="4" t="n">
        <f aca="false">H128*I128*(1-J128/100)</f>
        <v>19800</v>
      </c>
      <c r="L128" s="4" t="n">
        <f aca="false">K128*0.55</f>
        <v>10890</v>
      </c>
      <c r="M128" s="4" t="n">
        <f aca="false">K128-L128</f>
        <v>8910</v>
      </c>
    </row>
    <row r="129" customFormat="false" ht="15" hidden="false" customHeight="false" outlineLevel="0" collapsed="false">
      <c r="A129" s="0" t="s">
        <v>188</v>
      </c>
      <c r="B129" s="5" t="n">
        <v>45729</v>
      </c>
      <c r="C129" s="6" t="s">
        <v>14</v>
      </c>
      <c r="D129" s="6" t="s">
        <v>41</v>
      </c>
      <c r="E129" s="6" t="s">
        <v>45</v>
      </c>
      <c r="F129" s="6" t="s">
        <v>48</v>
      </c>
      <c r="G129" s="6" t="s">
        <v>23</v>
      </c>
      <c r="H129" s="0" t="n">
        <v>20</v>
      </c>
      <c r="I129" s="7" t="n">
        <v>700</v>
      </c>
      <c r="J129" s="0" t="n">
        <v>15</v>
      </c>
      <c r="K129" s="7" t="n">
        <f aca="false">H129*I129*(1-J129/100)</f>
        <v>11900</v>
      </c>
      <c r="L129" s="7" t="n">
        <f aca="false">K129*0.72</f>
        <v>8568</v>
      </c>
      <c r="M129" s="7" t="n">
        <f aca="false">K129-L129</f>
        <v>3332</v>
      </c>
    </row>
    <row r="130" customFormat="false" ht="15" hidden="false" customHeight="false" outlineLevel="0" collapsed="false">
      <c r="A130" s="2" t="s">
        <v>189</v>
      </c>
      <c r="B130" s="3" t="n">
        <v>45713</v>
      </c>
      <c r="C130" s="2" t="s">
        <v>34</v>
      </c>
      <c r="D130" s="2" t="s">
        <v>30</v>
      </c>
      <c r="E130" s="2" t="s">
        <v>38</v>
      </c>
      <c r="F130" s="2" t="s">
        <v>116</v>
      </c>
      <c r="G130" s="2" t="s">
        <v>18</v>
      </c>
      <c r="H130" s="2" t="n">
        <v>7</v>
      </c>
      <c r="I130" s="4" t="n">
        <v>2200</v>
      </c>
      <c r="J130" s="2" t="n">
        <v>20</v>
      </c>
      <c r="K130" s="4" t="n">
        <f aca="false">H130*I130*(1-J130/100)</f>
        <v>12320</v>
      </c>
      <c r="L130" s="4" t="n">
        <f aca="false">K130*0.6</f>
        <v>7392</v>
      </c>
      <c r="M130" s="4" t="n">
        <f aca="false">K130-L130</f>
        <v>4928</v>
      </c>
    </row>
    <row r="131" customFormat="false" ht="15" hidden="false" customHeight="false" outlineLevel="0" collapsed="false">
      <c r="A131" s="0" t="s">
        <v>190</v>
      </c>
      <c r="B131" s="5" t="n">
        <v>45741</v>
      </c>
      <c r="C131" s="6" t="s">
        <v>14</v>
      </c>
      <c r="D131" s="6" t="s">
        <v>30</v>
      </c>
      <c r="E131" s="6" t="s">
        <v>45</v>
      </c>
      <c r="F131" s="6" t="s">
        <v>76</v>
      </c>
      <c r="G131" s="6" t="s">
        <v>32</v>
      </c>
      <c r="H131" s="0" t="n">
        <v>15</v>
      </c>
      <c r="I131" s="7" t="n">
        <v>2500</v>
      </c>
      <c r="J131" s="0" t="n">
        <v>0</v>
      </c>
      <c r="K131" s="7" t="n">
        <f aca="false">H131*I131*(1-J131/100)</f>
        <v>37500</v>
      </c>
      <c r="L131" s="7" t="n">
        <f aca="false">K131*0.67</f>
        <v>25125</v>
      </c>
      <c r="M131" s="7" t="n">
        <f aca="false">K131-L131</f>
        <v>12375</v>
      </c>
    </row>
    <row r="132" customFormat="false" ht="15" hidden="false" customHeight="false" outlineLevel="0" collapsed="false">
      <c r="A132" s="2" t="s">
        <v>191</v>
      </c>
      <c r="B132" s="3" t="n">
        <v>45721</v>
      </c>
      <c r="C132" s="2" t="s">
        <v>14</v>
      </c>
      <c r="D132" s="2" t="s">
        <v>15</v>
      </c>
      <c r="E132" s="2" t="s">
        <v>16</v>
      </c>
      <c r="F132" s="2" t="s">
        <v>125</v>
      </c>
      <c r="G132" s="2" t="s">
        <v>27</v>
      </c>
      <c r="H132" s="2" t="n">
        <v>6</v>
      </c>
      <c r="I132" s="4" t="n">
        <v>280</v>
      </c>
      <c r="J132" s="2" t="n">
        <v>5</v>
      </c>
      <c r="K132" s="4" t="n">
        <f aca="false">H132*I132*(1-J132/100)</f>
        <v>1596</v>
      </c>
      <c r="L132" s="4" t="n">
        <f aca="false">K132*0.58</f>
        <v>925.68</v>
      </c>
      <c r="M132" s="4" t="n">
        <f aca="false">K132-L132</f>
        <v>670.32</v>
      </c>
    </row>
    <row r="133" customFormat="false" ht="15" hidden="false" customHeight="false" outlineLevel="0" collapsed="false">
      <c r="A133" s="0" t="s">
        <v>192</v>
      </c>
      <c r="B133" s="5" t="n">
        <v>45728</v>
      </c>
      <c r="C133" s="6" t="s">
        <v>14</v>
      </c>
      <c r="D133" s="6" t="s">
        <v>20</v>
      </c>
      <c r="E133" s="6" t="s">
        <v>38</v>
      </c>
      <c r="F133" s="6" t="s">
        <v>116</v>
      </c>
      <c r="G133" s="6" t="s">
        <v>49</v>
      </c>
      <c r="H133" s="0" t="n">
        <v>9</v>
      </c>
      <c r="I133" s="7" t="n">
        <v>2200</v>
      </c>
      <c r="J133" s="0" t="n">
        <v>15</v>
      </c>
      <c r="K133" s="7" t="n">
        <f aca="false">H133*I133*(1-J133/100)</f>
        <v>16830</v>
      </c>
      <c r="L133" s="7" t="n">
        <f aca="false">K133*0.74</f>
        <v>12454.2</v>
      </c>
      <c r="M133" s="7" t="n">
        <f aca="false">K133-L133</f>
        <v>4375.8</v>
      </c>
    </row>
    <row r="134" customFormat="false" ht="15" hidden="false" customHeight="false" outlineLevel="0" collapsed="false">
      <c r="A134" s="2" t="s">
        <v>193</v>
      </c>
      <c r="B134" s="3" t="n">
        <v>45712</v>
      </c>
      <c r="C134" s="2" t="s">
        <v>34</v>
      </c>
      <c r="D134" s="2" t="s">
        <v>41</v>
      </c>
      <c r="E134" s="2" t="s">
        <v>45</v>
      </c>
      <c r="F134" s="2" t="s">
        <v>46</v>
      </c>
      <c r="G134" s="2" t="s">
        <v>43</v>
      </c>
      <c r="H134" s="2" t="n">
        <v>5</v>
      </c>
      <c r="I134" s="4" t="n">
        <v>900</v>
      </c>
      <c r="J134" s="2" t="n">
        <v>5</v>
      </c>
      <c r="K134" s="4" t="n">
        <f aca="false">H134*I134*(1-J134/100)</f>
        <v>4275</v>
      </c>
      <c r="L134" s="4" t="n">
        <f aca="false">K134*0.72</f>
        <v>3078</v>
      </c>
      <c r="M134" s="4" t="n">
        <f aca="false">K134-L134</f>
        <v>1197</v>
      </c>
    </row>
    <row r="135" customFormat="false" ht="15" hidden="false" customHeight="false" outlineLevel="0" collapsed="false">
      <c r="A135" s="0" t="s">
        <v>194</v>
      </c>
      <c r="B135" s="5" t="n">
        <v>45738</v>
      </c>
      <c r="C135" s="6" t="s">
        <v>14</v>
      </c>
      <c r="D135" s="6" t="s">
        <v>37</v>
      </c>
      <c r="E135" s="6" t="s">
        <v>38</v>
      </c>
      <c r="F135" s="6" t="s">
        <v>116</v>
      </c>
      <c r="G135" s="6" t="s">
        <v>43</v>
      </c>
      <c r="H135" s="0" t="n">
        <v>13</v>
      </c>
      <c r="I135" s="7" t="n">
        <v>2200</v>
      </c>
      <c r="J135" s="0" t="n">
        <v>0</v>
      </c>
      <c r="K135" s="7" t="n">
        <f aca="false">H135*I135*(1-J135/100)</f>
        <v>28600</v>
      </c>
      <c r="L135" s="7" t="n">
        <f aca="false">K135*0.6</f>
        <v>17160</v>
      </c>
      <c r="M135" s="7" t="n">
        <f aca="false">K135-L135</f>
        <v>11440</v>
      </c>
    </row>
    <row r="136" customFormat="false" ht="15" hidden="false" customHeight="false" outlineLevel="0" collapsed="false">
      <c r="A136" s="2" t="s">
        <v>195</v>
      </c>
      <c r="B136" s="3" t="n">
        <v>45672</v>
      </c>
      <c r="C136" s="2" t="s">
        <v>29</v>
      </c>
      <c r="D136" s="2" t="s">
        <v>41</v>
      </c>
      <c r="E136" s="2" t="s">
        <v>16</v>
      </c>
      <c r="F136" s="2" t="s">
        <v>58</v>
      </c>
      <c r="G136" s="2" t="s">
        <v>27</v>
      </c>
      <c r="H136" s="2" t="n">
        <v>12</v>
      </c>
      <c r="I136" s="4" t="n">
        <v>200</v>
      </c>
      <c r="J136" s="2" t="n">
        <v>0</v>
      </c>
      <c r="K136" s="4" t="n">
        <f aca="false">H136*I136*(1-J136/100)</f>
        <v>2400</v>
      </c>
      <c r="L136" s="4" t="n">
        <f aca="false">K136*0.68</f>
        <v>1632</v>
      </c>
      <c r="M136" s="4" t="n">
        <f aca="false">K136-L136</f>
        <v>768</v>
      </c>
    </row>
    <row r="137" customFormat="false" ht="15" hidden="false" customHeight="false" outlineLevel="0" collapsed="false">
      <c r="A137" s="0" t="s">
        <v>196</v>
      </c>
      <c r="B137" s="5" t="n">
        <v>45689</v>
      </c>
      <c r="C137" s="6" t="s">
        <v>34</v>
      </c>
      <c r="D137" s="6" t="s">
        <v>20</v>
      </c>
      <c r="E137" s="6" t="s">
        <v>38</v>
      </c>
      <c r="F137" s="6" t="s">
        <v>116</v>
      </c>
      <c r="G137" s="6" t="s">
        <v>74</v>
      </c>
      <c r="H137" s="0" t="n">
        <v>8</v>
      </c>
      <c r="I137" s="7" t="n">
        <v>2200</v>
      </c>
      <c r="J137" s="0" t="n">
        <v>0</v>
      </c>
      <c r="K137" s="7" t="n">
        <f aca="false">H137*I137*(1-J137/100)</f>
        <v>17600</v>
      </c>
      <c r="L137" s="7" t="n">
        <f aca="false">K137*0.68</f>
        <v>11968</v>
      </c>
      <c r="M137" s="7" t="n">
        <f aca="false">K137-L137</f>
        <v>5632</v>
      </c>
    </row>
    <row r="138" customFormat="false" ht="15" hidden="false" customHeight="false" outlineLevel="0" collapsed="false">
      <c r="A138" s="2" t="s">
        <v>197</v>
      </c>
      <c r="B138" s="3" t="n">
        <v>45711</v>
      </c>
      <c r="C138" s="2" t="s">
        <v>34</v>
      </c>
      <c r="D138" s="2" t="s">
        <v>41</v>
      </c>
      <c r="E138" s="2" t="s">
        <v>21</v>
      </c>
      <c r="F138" s="2" t="s">
        <v>22</v>
      </c>
      <c r="G138" s="2" t="s">
        <v>49</v>
      </c>
      <c r="H138" s="2" t="n">
        <v>2</v>
      </c>
      <c r="I138" s="4" t="n">
        <v>85000</v>
      </c>
      <c r="J138" s="2" t="n">
        <v>0</v>
      </c>
      <c r="K138" s="4" t="n">
        <f aca="false">H138*I138*(1-J138/100)</f>
        <v>170000</v>
      </c>
      <c r="L138" s="4" t="n">
        <f aca="false">K138*0.61</f>
        <v>103700</v>
      </c>
      <c r="M138" s="4" t="n">
        <f aca="false">K138-L138</f>
        <v>66300</v>
      </c>
    </row>
    <row r="139" customFormat="false" ht="15" hidden="false" customHeight="false" outlineLevel="0" collapsed="false">
      <c r="A139" s="0" t="s">
        <v>198</v>
      </c>
      <c r="B139" s="5" t="n">
        <v>45692</v>
      </c>
      <c r="C139" s="6" t="s">
        <v>34</v>
      </c>
      <c r="D139" s="6" t="s">
        <v>15</v>
      </c>
      <c r="E139" s="6" t="s">
        <v>25</v>
      </c>
      <c r="F139" s="6" t="s">
        <v>26</v>
      </c>
      <c r="G139" s="6" t="s">
        <v>49</v>
      </c>
      <c r="H139" s="0" t="n">
        <v>13</v>
      </c>
      <c r="I139" s="7" t="n">
        <v>22000</v>
      </c>
      <c r="J139" s="0" t="n">
        <v>15</v>
      </c>
      <c r="K139" s="7" t="n">
        <f aca="false">H139*I139*(1-J139/100)</f>
        <v>243100</v>
      </c>
      <c r="L139" s="7" t="n">
        <f aca="false">K139*0.62</f>
        <v>150722</v>
      </c>
      <c r="M139" s="7" t="n">
        <f aca="false">K139-L139</f>
        <v>92378</v>
      </c>
    </row>
    <row r="140" customFormat="false" ht="15" hidden="false" customHeight="false" outlineLevel="0" collapsed="false">
      <c r="A140" s="2" t="s">
        <v>199</v>
      </c>
      <c r="B140" s="3" t="n">
        <v>45739</v>
      </c>
      <c r="C140" s="2" t="s">
        <v>14</v>
      </c>
      <c r="D140" s="2" t="s">
        <v>20</v>
      </c>
      <c r="E140" s="2" t="s">
        <v>21</v>
      </c>
      <c r="F140" s="2" t="s">
        <v>71</v>
      </c>
      <c r="G140" s="2" t="s">
        <v>49</v>
      </c>
      <c r="H140" s="2" t="n">
        <v>14</v>
      </c>
      <c r="I140" s="4" t="n">
        <v>12000</v>
      </c>
      <c r="J140" s="2" t="n">
        <v>0</v>
      </c>
      <c r="K140" s="4" t="n">
        <f aca="false">H140*I140*(1-J140/100)</f>
        <v>168000</v>
      </c>
      <c r="L140" s="4" t="n">
        <f aca="false">K140*0.72</f>
        <v>120960</v>
      </c>
      <c r="M140" s="4" t="n">
        <f aca="false">K140-L140</f>
        <v>47040</v>
      </c>
    </row>
    <row r="141" customFormat="false" ht="15" hidden="false" customHeight="false" outlineLevel="0" collapsed="false">
      <c r="A141" s="0" t="s">
        <v>200</v>
      </c>
      <c r="B141" s="5" t="n">
        <v>45730</v>
      </c>
      <c r="C141" s="6" t="s">
        <v>14</v>
      </c>
      <c r="D141" s="6" t="s">
        <v>41</v>
      </c>
      <c r="E141" s="6" t="s">
        <v>45</v>
      </c>
      <c r="F141" s="6" t="s">
        <v>102</v>
      </c>
      <c r="G141" s="6" t="s">
        <v>18</v>
      </c>
      <c r="H141" s="0" t="n">
        <v>15</v>
      </c>
      <c r="I141" s="7" t="n">
        <v>3200</v>
      </c>
      <c r="J141" s="0" t="n">
        <v>15</v>
      </c>
      <c r="K141" s="7" t="n">
        <f aca="false">H141*I141*(1-J141/100)</f>
        <v>40800</v>
      </c>
      <c r="L141" s="7" t="n">
        <f aca="false">K141*0.74</f>
        <v>30192</v>
      </c>
      <c r="M141" s="7" t="n">
        <f aca="false">K141-L141</f>
        <v>10608</v>
      </c>
    </row>
    <row r="142" customFormat="false" ht="15" hidden="false" customHeight="false" outlineLevel="0" collapsed="false">
      <c r="A142" s="2" t="s">
        <v>201</v>
      </c>
      <c r="B142" s="3" t="n">
        <v>45692</v>
      </c>
      <c r="C142" s="2" t="s">
        <v>34</v>
      </c>
      <c r="D142" s="2" t="s">
        <v>41</v>
      </c>
      <c r="E142" s="2" t="s">
        <v>38</v>
      </c>
      <c r="F142" s="2" t="s">
        <v>116</v>
      </c>
      <c r="G142" s="2" t="s">
        <v>23</v>
      </c>
      <c r="H142" s="2" t="n">
        <v>13</v>
      </c>
      <c r="I142" s="4" t="n">
        <v>2200</v>
      </c>
      <c r="J142" s="2" t="n">
        <v>10</v>
      </c>
      <c r="K142" s="4" t="n">
        <f aca="false">H142*I142*(1-J142/100)</f>
        <v>25740</v>
      </c>
      <c r="L142" s="4" t="n">
        <f aca="false">K142*0.59</f>
        <v>15186.6</v>
      </c>
      <c r="M142" s="4" t="n">
        <f aca="false">K142-L142</f>
        <v>10553.4</v>
      </c>
    </row>
    <row r="143" customFormat="false" ht="15" hidden="false" customHeight="false" outlineLevel="0" collapsed="false">
      <c r="A143" s="0" t="s">
        <v>202</v>
      </c>
      <c r="B143" s="5" t="n">
        <v>45685</v>
      </c>
      <c r="C143" s="6" t="s">
        <v>29</v>
      </c>
      <c r="D143" s="6" t="s">
        <v>37</v>
      </c>
      <c r="E143" s="6" t="s">
        <v>45</v>
      </c>
      <c r="F143" s="6" t="s">
        <v>93</v>
      </c>
      <c r="G143" s="6" t="s">
        <v>74</v>
      </c>
      <c r="H143" s="0" t="n">
        <v>1</v>
      </c>
      <c r="I143" s="7" t="n">
        <v>1800</v>
      </c>
      <c r="J143" s="0" t="n">
        <v>0</v>
      </c>
      <c r="K143" s="7" t="n">
        <f aca="false">H143*I143*(1-J143/100)</f>
        <v>1800</v>
      </c>
      <c r="L143" s="7" t="n">
        <f aca="false">K143*0.71</f>
        <v>1278</v>
      </c>
      <c r="M143" s="7" t="n">
        <f aca="false">K143-L143</f>
        <v>522</v>
      </c>
    </row>
    <row r="144" customFormat="false" ht="15" hidden="false" customHeight="false" outlineLevel="0" collapsed="false">
      <c r="A144" s="2" t="s">
        <v>203</v>
      </c>
      <c r="B144" s="3" t="n">
        <v>45662</v>
      </c>
      <c r="C144" s="2" t="s">
        <v>29</v>
      </c>
      <c r="D144" s="2" t="s">
        <v>20</v>
      </c>
      <c r="E144" s="2" t="s">
        <v>25</v>
      </c>
      <c r="F144" s="2" t="s">
        <v>65</v>
      </c>
      <c r="G144" s="2" t="s">
        <v>69</v>
      </c>
      <c r="H144" s="2" t="n">
        <v>7</v>
      </c>
      <c r="I144" s="4" t="n">
        <v>45000</v>
      </c>
      <c r="J144" s="2" t="n">
        <v>20</v>
      </c>
      <c r="K144" s="4" t="n">
        <f aca="false">H144*I144*(1-J144/100)</f>
        <v>252000</v>
      </c>
      <c r="L144" s="4" t="n">
        <f aca="false">K144*0.59</f>
        <v>148680</v>
      </c>
      <c r="M144" s="4" t="n">
        <f aca="false">K144-L144</f>
        <v>103320</v>
      </c>
    </row>
    <row r="145" customFormat="false" ht="15" hidden="false" customHeight="false" outlineLevel="0" collapsed="false">
      <c r="A145" s="0" t="s">
        <v>204</v>
      </c>
      <c r="B145" s="5" t="n">
        <v>45668</v>
      </c>
      <c r="C145" s="6" t="s">
        <v>29</v>
      </c>
      <c r="D145" s="6" t="s">
        <v>30</v>
      </c>
      <c r="E145" s="6" t="s">
        <v>38</v>
      </c>
      <c r="F145" s="6" t="s">
        <v>39</v>
      </c>
      <c r="G145" s="6" t="s">
        <v>32</v>
      </c>
      <c r="H145" s="0" t="n">
        <v>5</v>
      </c>
      <c r="I145" s="7" t="n">
        <v>1200</v>
      </c>
      <c r="J145" s="0" t="n">
        <v>5</v>
      </c>
      <c r="K145" s="7" t="n">
        <f aca="false">H145*I145*(1-J145/100)</f>
        <v>5700</v>
      </c>
      <c r="L145" s="7" t="n">
        <f aca="false">K145*0.66</f>
        <v>3762</v>
      </c>
      <c r="M145" s="7" t="n">
        <f aca="false">K145-L145</f>
        <v>1938</v>
      </c>
    </row>
    <row r="146" customFormat="false" ht="15" hidden="false" customHeight="false" outlineLevel="0" collapsed="false">
      <c r="A146" s="2" t="s">
        <v>205</v>
      </c>
      <c r="B146" s="3" t="n">
        <v>45661</v>
      </c>
      <c r="C146" s="2" t="s">
        <v>29</v>
      </c>
      <c r="D146" s="2" t="s">
        <v>15</v>
      </c>
      <c r="E146" s="2" t="s">
        <v>25</v>
      </c>
      <c r="F146" s="2" t="s">
        <v>65</v>
      </c>
      <c r="G146" s="2" t="s">
        <v>35</v>
      </c>
      <c r="H146" s="2" t="n">
        <v>8</v>
      </c>
      <c r="I146" s="4" t="n">
        <v>45000</v>
      </c>
      <c r="J146" s="2" t="n">
        <v>20</v>
      </c>
      <c r="K146" s="4" t="n">
        <f aca="false">H146*I146*(1-J146/100)</f>
        <v>288000</v>
      </c>
      <c r="L146" s="4" t="n">
        <f aca="false">K146*0.61</f>
        <v>175680</v>
      </c>
      <c r="M146" s="4" t="n">
        <f aca="false">K146-L146</f>
        <v>112320</v>
      </c>
    </row>
    <row r="147" customFormat="false" ht="15" hidden="false" customHeight="false" outlineLevel="0" collapsed="false">
      <c r="A147" s="0" t="s">
        <v>206</v>
      </c>
      <c r="B147" s="5" t="n">
        <v>45666</v>
      </c>
      <c r="C147" s="6" t="s">
        <v>29</v>
      </c>
      <c r="D147" s="6" t="s">
        <v>15</v>
      </c>
      <c r="E147" s="6" t="s">
        <v>25</v>
      </c>
      <c r="F147" s="6" t="s">
        <v>81</v>
      </c>
      <c r="G147" s="6" t="s">
        <v>69</v>
      </c>
      <c r="H147" s="0" t="n">
        <v>4</v>
      </c>
      <c r="I147" s="7" t="n">
        <v>1500</v>
      </c>
      <c r="J147" s="0" t="n">
        <v>0</v>
      </c>
      <c r="K147" s="7" t="n">
        <f aca="false">H147*I147*(1-J147/100)</f>
        <v>6000</v>
      </c>
      <c r="L147" s="7" t="n">
        <f aca="false">K147*0.65</f>
        <v>3900</v>
      </c>
      <c r="M147" s="7" t="n">
        <f aca="false">K147-L147</f>
        <v>2100</v>
      </c>
    </row>
    <row r="148" customFormat="false" ht="15" hidden="false" customHeight="false" outlineLevel="0" collapsed="false">
      <c r="A148" s="2" t="s">
        <v>207</v>
      </c>
      <c r="B148" s="3" t="n">
        <v>45705</v>
      </c>
      <c r="C148" s="2" t="s">
        <v>34</v>
      </c>
      <c r="D148" s="2" t="s">
        <v>20</v>
      </c>
      <c r="E148" s="2" t="s">
        <v>45</v>
      </c>
      <c r="F148" s="2" t="s">
        <v>46</v>
      </c>
      <c r="G148" s="2" t="s">
        <v>69</v>
      </c>
      <c r="H148" s="2" t="n">
        <v>8</v>
      </c>
      <c r="I148" s="4" t="n">
        <v>900</v>
      </c>
      <c r="J148" s="2" t="n">
        <v>20</v>
      </c>
      <c r="K148" s="4" t="n">
        <f aca="false">H148*I148*(1-J148/100)</f>
        <v>5760</v>
      </c>
      <c r="L148" s="4" t="n">
        <f aca="false">K148*0.56</f>
        <v>3225.6</v>
      </c>
      <c r="M148" s="4" t="n">
        <f aca="false">K148-L148</f>
        <v>2534.4</v>
      </c>
    </row>
    <row r="149" customFormat="false" ht="15" hidden="false" customHeight="false" outlineLevel="0" collapsed="false">
      <c r="A149" s="0" t="s">
        <v>208</v>
      </c>
      <c r="B149" s="5" t="n">
        <v>45733</v>
      </c>
      <c r="C149" s="6" t="s">
        <v>14</v>
      </c>
      <c r="D149" s="6" t="s">
        <v>41</v>
      </c>
      <c r="E149" s="6" t="s">
        <v>21</v>
      </c>
      <c r="F149" s="6" t="s">
        <v>22</v>
      </c>
      <c r="G149" s="6" t="s">
        <v>23</v>
      </c>
      <c r="H149" s="0" t="n">
        <v>16</v>
      </c>
      <c r="I149" s="7" t="n">
        <v>85000</v>
      </c>
      <c r="J149" s="0" t="n">
        <v>15</v>
      </c>
      <c r="K149" s="7" t="n">
        <f aca="false">H149*I149*(1-J149/100)</f>
        <v>1156000</v>
      </c>
      <c r="L149" s="7" t="n">
        <f aca="false">K149*0.64</f>
        <v>739840</v>
      </c>
      <c r="M149" s="7" t="n">
        <f aca="false">K149-L149</f>
        <v>416160</v>
      </c>
    </row>
    <row r="150" customFormat="false" ht="15" hidden="false" customHeight="false" outlineLevel="0" collapsed="false">
      <c r="A150" s="2" t="s">
        <v>209</v>
      </c>
      <c r="B150" s="3" t="n">
        <v>45673</v>
      </c>
      <c r="C150" s="2" t="s">
        <v>29</v>
      </c>
      <c r="D150" s="2" t="s">
        <v>37</v>
      </c>
      <c r="E150" s="2" t="s">
        <v>45</v>
      </c>
      <c r="F150" s="2" t="s">
        <v>76</v>
      </c>
      <c r="G150" s="2" t="s">
        <v>35</v>
      </c>
      <c r="H150" s="2" t="n">
        <v>20</v>
      </c>
      <c r="I150" s="4" t="n">
        <v>2500</v>
      </c>
      <c r="J150" s="2" t="n">
        <v>5</v>
      </c>
      <c r="K150" s="4" t="n">
        <f aca="false">H150*I150*(1-J150/100)</f>
        <v>47500</v>
      </c>
      <c r="L150" s="4" t="n">
        <f aca="false">K150*0.56</f>
        <v>26600</v>
      </c>
      <c r="M150" s="4" t="n">
        <f aca="false">K150-L150</f>
        <v>20900</v>
      </c>
    </row>
    <row r="151" customFormat="false" ht="15" hidden="false" customHeight="false" outlineLevel="0" collapsed="false">
      <c r="A151" s="0" t="s">
        <v>210</v>
      </c>
      <c r="B151" s="5" t="n">
        <v>45708</v>
      </c>
      <c r="C151" s="6" t="s">
        <v>34</v>
      </c>
      <c r="D151" s="6" t="s">
        <v>20</v>
      </c>
      <c r="E151" s="6" t="s">
        <v>38</v>
      </c>
      <c r="F151" s="6" t="s">
        <v>116</v>
      </c>
      <c r="G151" s="6" t="s">
        <v>27</v>
      </c>
      <c r="H151" s="0" t="n">
        <v>20</v>
      </c>
      <c r="I151" s="7" t="n">
        <v>2200</v>
      </c>
      <c r="J151" s="0" t="n">
        <v>20</v>
      </c>
      <c r="K151" s="7" t="n">
        <f aca="false">H151*I151*(1-J151/100)</f>
        <v>35200</v>
      </c>
      <c r="L151" s="7" t="n">
        <f aca="false">K151*0.61</f>
        <v>21472</v>
      </c>
      <c r="M151" s="7" t="n">
        <f aca="false">K151-L151</f>
        <v>13728</v>
      </c>
    </row>
    <row r="152" customFormat="false" ht="15" hidden="false" customHeight="false" outlineLevel="0" collapsed="false">
      <c r="A152" s="2" t="s">
        <v>211</v>
      </c>
      <c r="B152" s="3" t="n">
        <v>45736</v>
      </c>
      <c r="C152" s="2" t="s">
        <v>14</v>
      </c>
      <c r="D152" s="2" t="s">
        <v>37</v>
      </c>
      <c r="E152" s="2" t="s">
        <v>45</v>
      </c>
      <c r="F152" s="2" t="s">
        <v>76</v>
      </c>
      <c r="G152" s="2" t="s">
        <v>69</v>
      </c>
      <c r="H152" s="2" t="n">
        <v>7</v>
      </c>
      <c r="I152" s="4" t="n">
        <v>2500</v>
      </c>
      <c r="J152" s="2" t="n">
        <v>15</v>
      </c>
      <c r="K152" s="4" t="n">
        <f aca="false">H152*I152*(1-J152/100)</f>
        <v>14875</v>
      </c>
      <c r="L152" s="4" t="n">
        <f aca="false">K152*0.64</f>
        <v>9520</v>
      </c>
      <c r="M152" s="4" t="n">
        <f aca="false">K152-L152</f>
        <v>5355</v>
      </c>
    </row>
    <row r="153" customFormat="false" ht="15" hidden="false" customHeight="false" outlineLevel="0" collapsed="false">
      <c r="A153" s="0" t="s">
        <v>212</v>
      </c>
      <c r="B153" s="5" t="n">
        <v>45671</v>
      </c>
      <c r="C153" s="6" t="s">
        <v>29</v>
      </c>
      <c r="D153" s="6" t="s">
        <v>41</v>
      </c>
      <c r="E153" s="6" t="s">
        <v>21</v>
      </c>
      <c r="F153" s="6" t="s">
        <v>84</v>
      </c>
      <c r="G153" s="6" t="s">
        <v>27</v>
      </c>
      <c r="H153" s="0" t="n">
        <v>4</v>
      </c>
      <c r="I153" s="7" t="n">
        <v>38000</v>
      </c>
      <c r="J153" s="0" t="n">
        <v>10</v>
      </c>
      <c r="K153" s="7" t="n">
        <f aca="false">H153*I153*(1-J153/100)</f>
        <v>136800</v>
      </c>
      <c r="L153" s="7" t="n">
        <f aca="false">K153*0.64</f>
        <v>87552</v>
      </c>
      <c r="M153" s="7" t="n">
        <f aca="false">K153-L153</f>
        <v>49248</v>
      </c>
    </row>
    <row r="154" customFormat="false" ht="15" hidden="false" customHeight="false" outlineLevel="0" collapsed="false">
      <c r="A154" s="2" t="s">
        <v>213</v>
      </c>
      <c r="B154" s="3" t="n">
        <v>45725</v>
      </c>
      <c r="C154" s="2" t="s">
        <v>14</v>
      </c>
      <c r="D154" s="2" t="s">
        <v>41</v>
      </c>
      <c r="E154" s="2" t="s">
        <v>25</v>
      </c>
      <c r="F154" s="2" t="s">
        <v>81</v>
      </c>
      <c r="G154" s="2" t="s">
        <v>43</v>
      </c>
      <c r="H154" s="2" t="n">
        <v>3</v>
      </c>
      <c r="I154" s="4" t="n">
        <v>1500</v>
      </c>
      <c r="J154" s="2" t="n">
        <v>0</v>
      </c>
      <c r="K154" s="4" t="n">
        <f aca="false">H154*I154*(1-J154/100)</f>
        <v>4500</v>
      </c>
      <c r="L154" s="4" t="n">
        <f aca="false">K154*0.57</f>
        <v>2565</v>
      </c>
      <c r="M154" s="4" t="n">
        <f aca="false">K154-L154</f>
        <v>1935</v>
      </c>
    </row>
    <row r="155" customFormat="false" ht="15" hidden="false" customHeight="false" outlineLevel="0" collapsed="false">
      <c r="A155" s="0" t="s">
        <v>214</v>
      </c>
      <c r="B155" s="5" t="n">
        <v>45681</v>
      </c>
      <c r="C155" s="6" t="s">
        <v>29</v>
      </c>
      <c r="D155" s="6" t="s">
        <v>41</v>
      </c>
      <c r="E155" s="6" t="s">
        <v>25</v>
      </c>
      <c r="F155" s="6" t="s">
        <v>26</v>
      </c>
      <c r="G155" s="6" t="s">
        <v>23</v>
      </c>
      <c r="H155" s="0" t="n">
        <v>19</v>
      </c>
      <c r="I155" s="7" t="n">
        <v>22000</v>
      </c>
      <c r="J155" s="0" t="n">
        <v>20</v>
      </c>
      <c r="K155" s="7" t="n">
        <f aca="false">H155*I155*(1-J155/100)</f>
        <v>334400</v>
      </c>
      <c r="L155" s="7" t="n">
        <f aca="false">K155*0.66</f>
        <v>220704</v>
      </c>
      <c r="M155" s="7" t="n">
        <f aca="false">K155-L155</f>
        <v>113696</v>
      </c>
    </row>
    <row r="156" customFormat="false" ht="15" hidden="false" customHeight="false" outlineLevel="0" collapsed="false">
      <c r="A156" s="2" t="s">
        <v>215</v>
      </c>
      <c r="B156" s="3" t="n">
        <v>45720</v>
      </c>
      <c r="C156" s="2" t="s">
        <v>14</v>
      </c>
      <c r="D156" s="2" t="s">
        <v>37</v>
      </c>
      <c r="E156" s="2" t="s">
        <v>16</v>
      </c>
      <c r="F156" s="2" t="s">
        <v>60</v>
      </c>
      <c r="G156" s="2" t="s">
        <v>23</v>
      </c>
      <c r="H156" s="2" t="n">
        <v>10</v>
      </c>
      <c r="I156" s="4" t="n">
        <v>650</v>
      </c>
      <c r="J156" s="2" t="n">
        <v>20</v>
      </c>
      <c r="K156" s="4" t="n">
        <f aca="false">H156*I156*(1-J156/100)</f>
        <v>5200</v>
      </c>
      <c r="L156" s="4" t="n">
        <f aca="false">K156*0.61</f>
        <v>3172</v>
      </c>
      <c r="M156" s="4" t="n">
        <f aca="false">K156-L156</f>
        <v>2028</v>
      </c>
    </row>
    <row r="157" customFormat="false" ht="15" hidden="false" customHeight="false" outlineLevel="0" collapsed="false">
      <c r="A157" s="0" t="s">
        <v>216</v>
      </c>
      <c r="B157" s="5" t="n">
        <v>45676</v>
      </c>
      <c r="C157" s="6" t="s">
        <v>29</v>
      </c>
      <c r="D157" s="6" t="s">
        <v>20</v>
      </c>
      <c r="E157" s="6" t="s">
        <v>25</v>
      </c>
      <c r="F157" s="6" t="s">
        <v>56</v>
      </c>
      <c r="G157" s="6" t="s">
        <v>72</v>
      </c>
      <c r="H157" s="0" t="n">
        <v>8</v>
      </c>
      <c r="I157" s="7" t="n">
        <v>120000</v>
      </c>
      <c r="J157" s="0" t="n">
        <v>0</v>
      </c>
      <c r="K157" s="7" t="n">
        <f aca="false">H157*I157*(1-J157/100)</f>
        <v>960000</v>
      </c>
      <c r="L157" s="7" t="n">
        <f aca="false">K157*0.62</f>
        <v>595200</v>
      </c>
      <c r="M157" s="7" t="n">
        <f aca="false">K157-L157</f>
        <v>364800</v>
      </c>
    </row>
    <row r="158" customFormat="false" ht="15" hidden="false" customHeight="false" outlineLevel="0" collapsed="false">
      <c r="A158" s="2" t="s">
        <v>217</v>
      </c>
      <c r="B158" s="3" t="n">
        <v>45728</v>
      </c>
      <c r="C158" s="2" t="s">
        <v>14</v>
      </c>
      <c r="D158" s="2" t="s">
        <v>15</v>
      </c>
      <c r="E158" s="2" t="s">
        <v>16</v>
      </c>
      <c r="F158" s="2" t="s">
        <v>58</v>
      </c>
      <c r="G158" s="2" t="s">
        <v>18</v>
      </c>
      <c r="H158" s="2" t="n">
        <v>14</v>
      </c>
      <c r="I158" s="4" t="n">
        <v>200</v>
      </c>
      <c r="J158" s="2" t="n">
        <v>20</v>
      </c>
      <c r="K158" s="4" t="n">
        <f aca="false">H158*I158*(1-J158/100)</f>
        <v>2240</v>
      </c>
      <c r="L158" s="4" t="n">
        <f aca="false">K158*0.74</f>
        <v>1657.6</v>
      </c>
      <c r="M158" s="4" t="n">
        <f aca="false">K158-L158</f>
        <v>582.4</v>
      </c>
    </row>
    <row r="159" customFormat="false" ht="15" hidden="false" customHeight="false" outlineLevel="0" collapsed="false">
      <c r="A159" s="0" t="s">
        <v>218</v>
      </c>
      <c r="B159" s="5" t="n">
        <v>45736</v>
      </c>
      <c r="C159" s="6" t="s">
        <v>14</v>
      </c>
      <c r="D159" s="6" t="s">
        <v>20</v>
      </c>
      <c r="E159" s="6" t="s">
        <v>45</v>
      </c>
      <c r="F159" s="6" t="s">
        <v>48</v>
      </c>
      <c r="G159" s="6" t="s">
        <v>32</v>
      </c>
      <c r="H159" s="0" t="n">
        <v>1</v>
      </c>
      <c r="I159" s="7" t="n">
        <v>700</v>
      </c>
      <c r="J159" s="0" t="n">
        <v>5</v>
      </c>
      <c r="K159" s="7" t="n">
        <f aca="false">H159*I159*(1-J159/100)</f>
        <v>665</v>
      </c>
      <c r="L159" s="7" t="n">
        <f aca="false">K159*0.6</f>
        <v>399</v>
      </c>
      <c r="M159" s="7" t="n">
        <f aca="false">K159-L159</f>
        <v>266</v>
      </c>
    </row>
    <row r="160" customFormat="false" ht="15" hidden="false" customHeight="false" outlineLevel="0" collapsed="false">
      <c r="A160" s="2" t="s">
        <v>219</v>
      </c>
      <c r="B160" s="3" t="n">
        <v>45699</v>
      </c>
      <c r="C160" s="2" t="s">
        <v>34</v>
      </c>
      <c r="D160" s="2" t="s">
        <v>41</v>
      </c>
      <c r="E160" s="2" t="s">
        <v>45</v>
      </c>
      <c r="F160" s="2" t="s">
        <v>93</v>
      </c>
      <c r="G160" s="2" t="s">
        <v>49</v>
      </c>
      <c r="H160" s="2" t="n">
        <v>19</v>
      </c>
      <c r="I160" s="4" t="n">
        <v>1800</v>
      </c>
      <c r="J160" s="2" t="n">
        <v>15</v>
      </c>
      <c r="K160" s="4" t="n">
        <f aca="false">H160*I160*(1-J160/100)</f>
        <v>29070</v>
      </c>
      <c r="L160" s="4" t="n">
        <f aca="false">K160*0.56</f>
        <v>16279.2</v>
      </c>
      <c r="M160" s="4" t="n">
        <f aca="false">K160-L160</f>
        <v>12790.8</v>
      </c>
    </row>
    <row r="161" customFormat="false" ht="15" hidden="false" customHeight="false" outlineLevel="0" collapsed="false">
      <c r="A161" s="0" t="s">
        <v>220</v>
      </c>
      <c r="B161" s="5" t="n">
        <v>45737</v>
      </c>
      <c r="C161" s="6" t="s">
        <v>14</v>
      </c>
      <c r="D161" s="6" t="s">
        <v>15</v>
      </c>
      <c r="E161" s="6" t="s">
        <v>45</v>
      </c>
      <c r="F161" s="6" t="s">
        <v>48</v>
      </c>
      <c r="G161" s="6" t="s">
        <v>18</v>
      </c>
      <c r="H161" s="0" t="n">
        <v>13</v>
      </c>
      <c r="I161" s="7" t="n">
        <v>700</v>
      </c>
      <c r="J161" s="0" t="n">
        <v>15</v>
      </c>
      <c r="K161" s="7" t="n">
        <f aca="false">H161*I161*(1-J161/100)</f>
        <v>7735</v>
      </c>
      <c r="L161" s="7" t="n">
        <f aca="false">K161*0.64</f>
        <v>4950.4</v>
      </c>
      <c r="M161" s="7" t="n">
        <f aca="false">K161-L161</f>
        <v>2784.6</v>
      </c>
    </row>
    <row r="162" customFormat="false" ht="15" hidden="false" customHeight="false" outlineLevel="0" collapsed="false">
      <c r="A162" s="2" t="s">
        <v>221</v>
      </c>
      <c r="B162" s="3" t="n">
        <v>45669</v>
      </c>
      <c r="C162" s="2" t="s">
        <v>29</v>
      </c>
      <c r="D162" s="2" t="s">
        <v>41</v>
      </c>
      <c r="E162" s="2" t="s">
        <v>16</v>
      </c>
      <c r="F162" s="2" t="s">
        <v>58</v>
      </c>
      <c r="G162" s="2" t="s">
        <v>74</v>
      </c>
      <c r="H162" s="2" t="n">
        <v>3</v>
      </c>
      <c r="I162" s="4" t="n">
        <v>200</v>
      </c>
      <c r="J162" s="2" t="n">
        <v>0</v>
      </c>
      <c r="K162" s="4" t="n">
        <f aca="false">H162*I162*(1-J162/100)</f>
        <v>600</v>
      </c>
      <c r="L162" s="4" t="n">
        <f aca="false">K162*0.58</f>
        <v>348</v>
      </c>
      <c r="M162" s="4" t="n">
        <f aca="false">K162-L162</f>
        <v>252</v>
      </c>
    </row>
    <row r="163" customFormat="false" ht="15" hidden="false" customHeight="false" outlineLevel="0" collapsed="false">
      <c r="A163" s="0" t="s">
        <v>222</v>
      </c>
      <c r="B163" s="5" t="n">
        <v>45718</v>
      </c>
      <c r="C163" s="6" t="s">
        <v>14</v>
      </c>
      <c r="D163" s="6" t="s">
        <v>15</v>
      </c>
      <c r="E163" s="6" t="s">
        <v>16</v>
      </c>
      <c r="F163" s="6" t="s">
        <v>60</v>
      </c>
      <c r="G163" s="6" t="s">
        <v>27</v>
      </c>
      <c r="H163" s="0" t="n">
        <v>16</v>
      </c>
      <c r="I163" s="7" t="n">
        <v>650</v>
      </c>
      <c r="J163" s="0" t="n">
        <v>20</v>
      </c>
      <c r="K163" s="7" t="n">
        <f aca="false">H163*I163*(1-J163/100)</f>
        <v>8320</v>
      </c>
      <c r="L163" s="7" t="n">
        <f aca="false">K163*0.64</f>
        <v>5324.8</v>
      </c>
      <c r="M163" s="7" t="n">
        <f aca="false">K163-L163</f>
        <v>2995.2</v>
      </c>
    </row>
    <row r="164" customFormat="false" ht="15" hidden="false" customHeight="false" outlineLevel="0" collapsed="false">
      <c r="A164" s="2" t="s">
        <v>223</v>
      </c>
      <c r="B164" s="3" t="n">
        <v>45695</v>
      </c>
      <c r="C164" s="2" t="s">
        <v>34</v>
      </c>
      <c r="D164" s="2" t="s">
        <v>20</v>
      </c>
      <c r="E164" s="2" t="s">
        <v>45</v>
      </c>
      <c r="F164" s="2" t="s">
        <v>102</v>
      </c>
      <c r="G164" s="2" t="s">
        <v>27</v>
      </c>
      <c r="H164" s="2" t="n">
        <v>4</v>
      </c>
      <c r="I164" s="4" t="n">
        <v>3200</v>
      </c>
      <c r="J164" s="2" t="n">
        <v>10</v>
      </c>
      <c r="K164" s="4" t="n">
        <f aca="false">H164*I164*(1-J164/100)</f>
        <v>11520</v>
      </c>
      <c r="L164" s="4" t="n">
        <f aca="false">K164*0.69</f>
        <v>7948.8</v>
      </c>
      <c r="M164" s="4" t="n">
        <f aca="false">K164-L164</f>
        <v>3571.2</v>
      </c>
    </row>
    <row r="165" customFormat="false" ht="15" hidden="false" customHeight="false" outlineLevel="0" collapsed="false">
      <c r="A165" s="0" t="s">
        <v>224</v>
      </c>
      <c r="B165" s="5" t="n">
        <v>45732</v>
      </c>
      <c r="C165" s="6" t="s">
        <v>14</v>
      </c>
      <c r="D165" s="6" t="s">
        <v>20</v>
      </c>
      <c r="E165" s="6" t="s">
        <v>16</v>
      </c>
      <c r="F165" s="6" t="s">
        <v>98</v>
      </c>
      <c r="G165" s="6" t="s">
        <v>18</v>
      </c>
      <c r="H165" s="0" t="n">
        <v>13</v>
      </c>
      <c r="I165" s="7" t="n">
        <v>350</v>
      </c>
      <c r="J165" s="0" t="n">
        <v>20</v>
      </c>
      <c r="K165" s="7" t="n">
        <f aca="false">H165*I165*(1-J165/100)</f>
        <v>3640</v>
      </c>
      <c r="L165" s="7" t="n">
        <f aca="false">K165*0.56</f>
        <v>2038.4</v>
      </c>
      <c r="M165" s="7" t="n">
        <f aca="false">K165-L165</f>
        <v>1601.6</v>
      </c>
    </row>
    <row r="166" customFormat="false" ht="15" hidden="false" customHeight="false" outlineLevel="0" collapsed="false">
      <c r="A166" s="2" t="s">
        <v>225</v>
      </c>
      <c r="B166" s="3" t="n">
        <v>45667</v>
      </c>
      <c r="C166" s="2" t="s">
        <v>29</v>
      </c>
      <c r="D166" s="2" t="s">
        <v>30</v>
      </c>
      <c r="E166" s="2" t="s">
        <v>25</v>
      </c>
      <c r="F166" s="2" t="s">
        <v>51</v>
      </c>
      <c r="G166" s="2" t="s">
        <v>32</v>
      </c>
      <c r="H166" s="2" t="n">
        <v>11</v>
      </c>
      <c r="I166" s="4" t="n">
        <v>8500</v>
      </c>
      <c r="J166" s="2" t="n">
        <v>0</v>
      </c>
      <c r="K166" s="4" t="n">
        <f aca="false">H166*I166*(1-J166/100)</f>
        <v>93500</v>
      </c>
      <c r="L166" s="4" t="n">
        <f aca="false">K166*0.55</f>
        <v>51425</v>
      </c>
      <c r="M166" s="4" t="n">
        <f aca="false">K166-L166</f>
        <v>42075</v>
      </c>
    </row>
    <row r="167" customFormat="false" ht="15" hidden="false" customHeight="false" outlineLevel="0" collapsed="false">
      <c r="A167" s="0" t="s">
        <v>226</v>
      </c>
      <c r="B167" s="5" t="n">
        <v>45730</v>
      </c>
      <c r="C167" s="6" t="s">
        <v>14</v>
      </c>
      <c r="D167" s="6" t="s">
        <v>30</v>
      </c>
      <c r="E167" s="6" t="s">
        <v>25</v>
      </c>
      <c r="F167" s="6" t="s">
        <v>81</v>
      </c>
      <c r="G167" s="6" t="s">
        <v>69</v>
      </c>
      <c r="H167" s="0" t="n">
        <v>8</v>
      </c>
      <c r="I167" s="7" t="n">
        <v>1500</v>
      </c>
      <c r="J167" s="0" t="n">
        <v>20</v>
      </c>
      <c r="K167" s="7" t="n">
        <f aca="false">H167*I167*(1-J167/100)</f>
        <v>9600</v>
      </c>
      <c r="L167" s="7" t="n">
        <f aca="false">K167*0.66</f>
        <v>6336</v>
      </c>
      <c r="M167" s="7" t="n">
        <f aca="false">K167-L167</f>
        <v>3264</v>
      </c>
    </row>
    <row r="168" customFormat="false" ht="15" hidden="false" customHeight="false" outlineLevel="0" collapsed="false">
      <c r="A168" s="2" t="s">
        <v>227</v>
      </c>
      <c r="B168" s="3" t="n">
        <v>45742</v>
      </c>
      <c r="C168" s="2" t="s">
        <v>14</v>
      </c>
      <c r="D168" s="2" t="s">
        <v>41</v>
      </c>
      <c r="E168" s="2" t="s">
        <v>45</v>
      </c>
      <c r="F168" s="2" t="s">
        <v>46</v>
      </c>
      <c r="G168" s="2" t="s">
        <v>23</v>
      </c>
      <c r="H168" s="2" t="n">
        <v>14</v>
      </c>
      <c r="I168" s="4" t="n">
        <v>900</v>
      </c>
      <c r="J168" s="2" t="n">
        <v>0</v>
      </c>
      <c r="K168" s="4" t="n">
        <f aca="false">H168*I168*(1-J168/100)</f>
        <v>12600</v>
      </c>
      <c r="L168" s="4" t="n">
        <f aca="false">K168*0.64</f>
        <v>8064</v>
      </c>
      <c r="M168" s="4" t="n">
        <f aca="false">K168-L168</f>
        <v>4536</v>
      </c>
    </row>
    <row r="169" customFormat="false" ht="15" hidden="false" customHeight="false" outlineLevel="0" collapsed="false">
      <c r="A169" s="0" t="s">
        <v>228</v>
      </c>
      <c r="B169" s="5" t="n">
        <v>45685</v>
      </c>
      <c r="C169" s="6" t="s">
        <v>29</v>
      </c>
      <c r="D169" s="6" t="s">
        <v>41</v>
      </c>
      <c r="E169" s="6" t="s">
        <v>38</v>
      </c>
      <c r="F169" s="6" t="s">
        <v>100</v>
      </c>
      <c r="G169" s="6" t="s">
        <v>74</v>
      </c>
      <c r="H169" s="0" t="n">
        <v>13</v>
      </c>
      <c r="I169" s="7" t="n">
        <v>650</v>
      </c>
      <c r="J169" s="0" t="n">
        <v>15</v>
      </c>
      <c r="K169" s="7" t="n">
        <f aca="false">H169*I169*(1-J169/100)</f>
        <v>7182.5</v>
      </c>
      <c r="L169" s="7" t="n">
        <f aca="false">K169*0.61</f>
        <v>4381.325</v>
      </c>
      <c r="M169" s="7" t="n">
        <f aca="false">K169-L169</f>
        <v>2801.175</v>
      </c>
    </row>
    <row r="170" customFormat="false" ht="15" hidden="false" customHeight="false" outlineLevel="0" collapsed="false">
      <c r="A170" s="2" t="s">
        <v>229</v>
      </c>
      <c r="B170" s="3" t="n">
        <v>45689</v>
      </c>
      <c r="C170" s="2" t="s">
        <v>34</v>
      </c>
      <c r="D170" s="2" t="s">
        <v>41</v>
      </c>
      <c r="E170" s="2" t="s">
        <v>25</v>
      </c>
      <c r="F170" s="2" t="s">
        <v>26</v>
      </c>
      <c r="G170" s="2" t="s">
        <v>72</v>
      </c>
      <c r="H170" s="2" t="n">
        <v>12</v>
      </c>
      <c r="I170" s="4" t="n">
        <v>22000</v>
      </c>
      <c r="J170" s="2" t="n">
        <v>0</v>
      </c>
      <c r="K170" s="4" t="n">
        <f aca="false">H170*I170*(1-J170/100)</f>
        <v>264000</v>
      </c>
      <c r="L170" s="4" t="n">
        <f aca="false">K170*0.64</f>
        <v>168960</v>
      </c>
      <c r="M170" s="4" t="n">
        <f aca="false">K170-L170</f>
        <v>95040</v>
      </c>
    </row>
    <row r="171" customFormat="false" ht="15" hidden="false" customHeight="false" outlineLevel="0" collapsed="false">
      <c r="A171" s="0" t="s">
        <v>230</v>
      </c>
      <c r="B171" s="5" t="n">
        <v>45665</v>
      </c>
      <c r="C171" s="6" t="s">
        <v>29</v>
      </c>
      <c r="D171" s="6" t="s">
        <v>37</v>
      </c>
      <c r="E171" s="6" t="s">
        <v>38</v>
      </c>
      <c r="F171" s="6" t="s">
        <v>100</v>
      </c>
      <c r="G171" s="6" t="s">
        <v>69</v>
      </c>
      <c r="H171" s="0" t="n">
        <v>3</v>
      </c>
      <c r="I171" s="7" t="n">
        <v>650</v>
      </c>
      <c r="J171" s="0" t="n">
        <v>15</v>
      </c>
      <c r="K171" s="7" t="n">
        <f aca="false">H171*I171*(1-J171/100)</f>
        <v>1657.5</v>
      </c>
      <c r="L171" s="7" t="n">
        <f aca="false">K171*0.72</f>
        <v>1193.4</v>
      </c>
      <c r="M171" s="7" t="n">
        <f aca="false">K171-L171</f>
        <v>464.1</v>
      </c>
    </row>
    <row r="172" customFormat="false" ht="15" hidden="false" customHeight="false" outlineLevel="0" collapsed="false">
      <c r="A172" s="2" t="s">
        <v>231</v>
      </c>
      <c r="B172" s="3" t="n">
        <v>45727</v>
      </c>
      <c r="C172" s="2" t="s">
        <v>14</v>
      </c>
      <c r="D172" s="2" t="s">
        <v>30</v>
      </c>
      <c r="E172" s="2" t="s">
        <v>16</v>
      </c>
      <c r="F172" s="2" t="s">
        <v>17</v>
      </c>
      <c r="G172" s="2" t="s">
        <v>43</v>
      </c>
      <c r="H172" s="2" t="n">
        <v>17</v>
      </c>
      <c r="I172" s="4" t="n">
        <v>1800</v>
      </c>
      <c r="J172" s="2" t="n">
        <v>0</v>
      </c>
      <c r="K172" s="4" t="n">
        <f aca="false">H172*I172*(1-J172/100)</f>
        <v>30600</v>
      </c>
      <c r="L172" s="4" t="n">
        <f aca="false">K172*0.66</f>
        <v>20196</v>
      </c>
      <c r="M172" s="4" t="n">
        <f aca="false">K172-L172</f>
        <v>10404</v>
      </c>
    </row>
    <row r="173" customFormat="false" ht="15" hidden="false" customHeight="false" outlineLevel="0" collapsed="false">
      <c r="A173" s="0" t="s">
        <v>232</v>
      </c>
      <c r="B173" s="5" t="n">
        <v>45682</v>
      </c>
      <c r="C173" s="6" t="s">
        <v>29</v>
      </c>
      <c r="D173" s="6" t="s">
        <v>41</v>
      </c>
      <c r="E173" s="6" t="s">
        <v>16</v>
      </c>
      <c r="F173" s="6" t="s">
        <v>17</v>
      </c>
      <c r="G173" s="6" t="s">
        <v>18</v>
      </c>
      <c r="H173" s="0" t="n">
        <v>4</v>
      </c>
      <c r="I173" s="7" t="n">
        <v>1800</v>
      </c>
      <c r="J173" s="0" t="n">
        <v>5</v>
      </c>
      <c r="K173" s="7" t="n">
        <f aca="false">H173*I173*(1-J173/100)</f>
        <v>6840</v>
      </c>
      <c r="L173" s="7" t="n">
        <f aca="false">K173*0.6</f>
        <v>4104</v>
      </c>
      <c r="M173" s="7" t="n">
        <f aca="false">K173-L173</f>
        <v>2736</v>
      </c>
    </row>
    <row r="174" customFormat="false" ht="15" hidden="false" customHeight="false" outlineLevel="0" collapsed="false">
      <c r="A174" s="2" t="s">
        <v>233</v>
      </c>
      <c r="B174" s="3" t="n">
        <v>45677</v>
      </c>
      <c r="C174" s="2" t="s">
        <v>29</v>
      </c>
      <c r="D174" s="2" t="s">
        <v>30</v>
      </c>
      <c r="E174" s="2" t="s">
        <v>45</v>
      </c>
      <c r="F174" s="2" t="s">
        <v>93</v>
      </c>
      <c r="G174" s="2" t="s">
        <v>72</v>
      </c>
      <c r="H174" s="2" t="n">
        <v>15</v>
      </c>
      <c r="I174" s="4" t="n">
        <v>1800</v>
      </c>
      <c r="J174" s="2" t="n">
        <v>20</v>
      </c>
      <c r="K174" s="4" t="n">
        <f aca="false">H174*I174*(1-J174/100)</f>
        <v>21600</v>
      </c>
      <c r="L174" s="4" t="n">
        <f aca="false">K174*0.7</f>
        <v>15120</v>
      </c>
      <c r="M174" s="4" t="n">
        <f aca="false">K174-L174</f>
        <v>6480</v>
      </c>
    </row>
    <row r="175" customFormat="false" ht="15" hidden="false" customHeight="false" outlineLevel="0" collapsed="false">
      <c r="A175" s="0" t="s">
        <v>234</v>
      </c>
      <c r="B175" s="5" t="n">
        <v>45710</v>
      </c>
      <c r="C175" s="6" t="s">
        <v>34</v>
      </c>
      <c r="D175" s="6" t="s">
        <v>20</v>
      </c>
      <c r="E175" s="6" t="s">
        <v>38</v>
      </c>
      <c r="F175" s="6" t="s">
        <v>116</v>
      </c>
      <c r="G175" s="6" t="s">
        <v>35</v>
      </c>
      <c r="H175" s="0" t="n">
        <v>5</v>
      </c>
      <c r="I175" s="7" t="n">
        <v>2200</v>
      </c>
      <c r="J175" s="0" t="n">
        <v>15</v>
      </c>
      <c r="K175" s="7" t="n">
        <f aca="false">H175*I175*(1-J175/100)</f>
        <v>9350</v>
      </c>
      <c r="L175" s="7" t="n">
        <f aca="false">K175*0.56</f>
        <v>5236</v>
      </c>
      <c r="M175" s="7" t="n">
        <f aca="false">K175-L175</f>
        <v>4114</v>
      </c>
    </row>
    <row r="176" customFormat="false" ht="15" hidden="false" customHeight="false" outlineLevel="0" collapsed="false">
      <c r="A176" s="2" t="s">
        <v>235</v>
      </c>
      <c r="B176" s="3" t="n">
        <v>45709</v>
      </c>
      <c r="C176" s="2" t="s">
        <v>34</v>
      </c>
      <c r="D176" s="2" t="s">
        <v>41</v>
      </c>
      <c r="E176" s="2" t="s">
        <v>16</v>
      </c>
      <c r="F176" s="2" t="s">
        <v>58</v>
      </c>
      <c r="G176" s="2" t="s">
        <v>23</v>
      </c>
      <c r="H176" s="2" t="n">
        <v>12</v>
      </c>
      <c r="I176" s="4" t="n">
        <v>200</v>
      </c>
      <c r="J176" s="2" t="n">
        <v>20</v>
      </c>
      <c r="K176" s="4" t="n">
        <f aca="false">H176*I176*(1-J176/100)</f>
        <v>1920</v>
      </c>
      <c r="L176" s="4" t="n">
        <f aca="false">K176*0.56</f>
        <v>1075.2</v>
      </c>
      <c r="M176" s="4" t="n">
        <f aca="false">K176-L176</f>
        <v>844.8</v>
      </c>
    </row>
    <row r="177" customFormat="false" ht="15" hidden="false" customHeight="false" outlineLevel="0" collapsed="false">
      <c r="A177" s="0" t="s">
        <v>236</v>
      </c>
      <c r="B177" s="5" t="n">
        <v>45703</v>
      </c>
      <c r="C177" s="6" t="s">
        <v>34</v>
      </c>
      <c r="D177" s="6" t="s">
        <v>15</v>
      </c>
      <c r="E177" s="6" t="s">
        <v>45</v>
      </c>
      <c r="F177" s="6" t="s">
        <v>102</v>
      </c>
      <c r="G177" s="6" t="s">
        <v>32</v>
      </c>
      <c r="H177" s="0" t="n">
        <v>3</v>
      </c>
      <c r="I177" s="7" t="n">
        <v>3200</v>
      </c>
      <c r="J177" s="0" t="n">
        <v>0</v>
      </c>
      <c r="K177" s="7" t="n">
        <f aca="false">H177*I177*(1-J177/100)</f>
        <v>9600</v>
      </c>
      <c r="L177" s="7" t="n">
        <f aca="false">K177*0.67</f>
        <v>6432</v>
      </c>
      <c r="M177" s="7" t="n">
        <f aca="false">K177-L177</f>
        <v>3168</v>
      </c>
    </row>
    <row r="178" customFormat="false" ht="15" hidden="false" customHeight="false" outlineLevel="0" collapsed="false">
      <c r="A178" s="2" t="s">
        <v>237</v>
      </c>
      <c r="B178" s="3" t="n">
        <v>45729</v>
      </c>
      <c r="C178" s="2" t="s">
        <v>14</v>
      </c>
      <c r="D178" s="2" t="s">
        <v>37</v>
      </c>
      <c r="E178" s="2" t="s">
        <v>38</v>
      </c>
      <c r="F178" s="2" t="s">
        <v>63</v>
      </c>
      <c r="G178" s="2" t="s">
        <v>23</v>
      </c>
      <c r="H178" s="2" t="n">
        <v>15</v>
      </c>
      <c r="I178" s="4" t="n">
        <v>450</v>
      </c>
      <c r="J178" s="2" t="n">
        <v>20</v>
      </c>
      <c r="K178" s="4" t="n">
        <f aca="false">H178*I178*(1-J178/100)</f>
        <v>5400</v>
      </c>
      <c r="L178" s="4" t="n">
        <f aca="false">K178*0.68</f>
        <v>3672</v>
      </c>
      <c r="M178" s="4" t="n">
        <f aca="false">K178-L178</f>
        <v>1728</v>
      </c>
    </row>
    <row r="179" customFormat="false" ht="15" hidden="false" customHeight="false" outlineLevel="0" collapsed="false">
      <c r="A179" s="0" t="s">
        <v>238</v>
      </c>
      <c r="B179" s="5" t="n">
        <v>45708</v>
      </c>
      <c r="C179" s="6" t="s">
        <v>34</v>
      </c>
      <c r="D179" s="6" t="s">
        <v>37</v>
      </c>
      <c r="E179" s="6" t="s">
        <v>38</v>
      </c>
      <c r="F179" s="6" t="s">
        <v>42</v>
      </c>
      <c r="G179" s="6" t="s">
        <v>23</v>
      </c>
      <c r="H179" s="0" t="n">
        <v>15</v>
      </c>
      <c r="I179" s="7" t="n">
        <v>800</v>
      </c>
      <c r="J179" s="0" t="n">
        <v>0</v>
      </c>
      <c r="K179" s="7" t="n">
        <f aca="false">H179*I179*(1-J179/100)</f>
        <v>12000</v>
      </c>
      <c r="L179" s="7" t="n">
        <f aca="false">K179*0.71</f>
        <v>8520</v>
      </c>
      <c r="M179" s="7" t="n">
        <f aca="false">K179-L179</f>
        <v>3480</v>
      </c>
    </row>
    <row r="180" customFormat="false" ht="15" hidden="false" customHeight="false" outlineLevel="0" collapsed="false">
      <c r="A180" s="2" t="s">
        <v>239</v>
      </c>
      <c r="B180" s="3" t="n">
        <v>45711</v>
      </c>
      <c r="C180" s="2" t="s">
        <v>34</v>
      </c>
      <c r="D180" s="2" t="s">
        <v>15</v>
      </c>
      <c r="E180" s="2" t="s">
        <v>38</v>
      </c>
      <c r="F180" s="2" t="s">
        <v>42</v>
      </c>
      <c r="G180" s="2" t="s">
        <v>23</v>
      </c>
      <c r="H180" s="2" t="n">
        <v>8</v>
      </c>
      <c r="I180" s="4" t="n">
        <v>800</v>
      </c>
      <c r="J180" s="2" t="n">
        <v>15</v>
      </c>
      <c r="K180" s="4" t="n">
        <f aca="false">H180*I180*(1-J180/100)</f>
        <v>5440</v>
      </c>
      <c r="L180" s="4" t="n">
        <f aca="false">K180*0.75</f>
        <v>4080</v>
      </c>
      <c r="M180" s="4" t="n">
        <f aca="false">K180-L180</f>
        <v>1360</v>
      </c>
    </row>
    <row r="181" customFormat="false" ht="15" hidden="false" customHeight="false" outlineLevel="0" collapsed="false">
      <c r="A181" s="0" t="s">
        <v>240</v>
      </c>
      <c r="B181" s="5" t="n">
        <v>45733</v>
      </c>
      <c r="C181" s="6" t="s">
        <v>14</v>
      </c>
      <c r="D181" s="6" t="s">
        <v>20</v>
      </c>
      <c r="E181" s="6" t="s">
        <v>25</v>
      </c>
      <c r="F181" s="6" t="s">
        <v>51</v>
      </c>
      <c r="G181" s="6" t="s">
        <v>35</v>
      </c>
      <c r="H181" s="0" t="n">
        <v>10</v>
      </c>
      <c r="I181" s="7" t="n">
        <v>8500</v>
      </c>
      <c r="J181" s="0" t="n">
        <v>15</v>
      </c>
      <c r="K181" s="7" t="n">
        <f aca="false">H181*I181*(1-J181/100)</f>
        <v>72250</v>
      </c>
      <c r="L181" s="7" t="n">
        <f aca="false">K181*0.63</f>
        <v>45517.5</v>
      </c>
      <c r="M181" s="7" t="n">
        <f aca="false">K181-L181</f>
        <v>26732.5</v>
      </c>
    </row>
    <row r="182" customFormat="false" ht="15" hidden="false" customHeight="false" outlineLevel="0" collapsed="false">
      <c r="A182" s="2" t="s">
        <v>241</v>
      </c>
      <c r="B182" s="3" t="n">
        <v>45710</v>
      </c>
      <c r="C182" s="2" t="s">
        <v>34</v>
      </c>
      <c r="D182" s="2" t="s">
        <v>20</v>
      </c>
      <c r="E182" s="2" t="s">
        <v>45</v>
      </c>
      <c r="F182" s="2" t="s">
        <v>102</v>
      </c>
      <c r="G182" s="2" t="s">
        <v>43</v>
      </c>
      <c r="H182" s="2" t="n">
        <v>11</v>
      </c>
      <c r="I182" s="4" t="n">
        <v>3200</v>
      </c>
      <c r="J182" s="2" t="n">
        <v>0</v>
      </c>
      <c r="K182" s="4" t="n">
        <f aca="false">H182*I182*(1-J182/100)</f>
        <v>35200</v>
      </c>
      <c r="L182" s="4" t="n">
        <f aca="false">K182*0.66</f>
        <v>23232</v>
      </c>
      <c r="M182" s="4" t="n">
        <f aca="false">K182-L182</f>
        <v>11968</v>
      </c>
    </row>
    <row r="183" customFormat="false" ht="15" hidden="false" customHeight="false" outlineLevel="0" collapsed="false">
      <c r="A183" s="0" t="s">
        <v>242</v>
      </c>
      <c r="B183" s="5" t="n">
        <v>45698</v>
      </c>
      <c r="C183" s="6" t="s">
        <v>34</v>
      </c>
      <c r="D183" s="6" t="s">
        <v>41</v>
      </c>
      <c r="E183" s="6" t="s">
        <v>38</v>
      </c>
      <c r="F183" s="6" t="s">
        <v>42</v>
      </c>
      <c r="G183" s="6" t="s">
        <v>35</v>
      </c>
      <c r="H183" s="0" t="n">
        <v>3</v>
      </c>
      <c r="I183" s="7" t="n">
        <v>800</v>
      </c>
      <c r="J183" s="0" t="n">
        <v>20</v>
      </c>
      <c r="K183" s="7" t="n">
        <f aca="false">H183*I183*(1-J183/100)</f>
        <v>1920</v>
      </c>
      <c r="L183" s="7" t="n">
        <f aca="false">K183*0.68</f>
        <v>1305.6</v>
      </c>
      <c r="M183" s="7" t="n">
        <f aca="false">K183-L183</f>
        <v>614.4</v>
      </c>
    </row>
    <row r="184" customFormat="false" ht="15" hidden="false" customHeight="false" outlineLevel="0" collapsed="false">
      <c r="A184" s="2" t="s">
        <v>243</v>
      </c>
      <c r="B184" s="3" t="n">
        <v>45698</v>
      </c>
      <c r="C184" s="2" t="s">
        <v>34</v>
      </c>
      <c r="D184" s="2" t="s">
        <v>37</v>
      </c>
      <c r="E184" s="2" t="s">
        <v>25</v>
      </c>
      <c r="F184" s="2" t="s">
        <v>26</v>
      </c>
      <c r="G184" s="2" t="s">
        <v>43</v>
      </c>
      <c r="H184" s="2" t="n">
        <v>10</v>
      </c>
      <c r="I184" s="4" t="n">
        <v>22000</v>
      </c>
      <c r="J184" s="2" t="n">
        <v>20</v>
      </c>
      <c r="K184" s="4" t="n">
        <f aca="false">H184*I184*(1-J184/100)</f>
        <v>176000</v>
      </c>
      <c r="L184" s="4" t="n">
        <f aca="false">K184*0.63</f>
        <v>110880</v>
      </c>
      <c r="M184" s="4" t="n">
        <f aca="false">K184-L184</f>
        <v>65120</v>
      </c>
    </row>
    <row r="185" customFormat="false" ht="15" hidden="false" customHeight="false" outlineLevel="0" collapsed="false">
      <c r="A185" s="0" t="s">
        <v>244</v>
      </c>
      <c r="B185" s="5" t="n">
        <v>45715</v>
      </c>
      <c r="C185" s="6" t="s">
        <v>34</v>
      </c>
      <c r="D185" s="6" t="s">
        <v>30</v>
      </c>
      <c r="E185" s="6" t="s">
        <v>38</v>
      </c>
      <c r="F185" s="6" t="s">
        <v>39</v>
      </c>
      <c r="G185" s="6" t="s">
        <v>27</v>
      </c>
      <c r="H185" s="0" t="n">
        <v>17</v>
      </c>
      <c r="I185" s="7" t="n">
        <v>1200</v>
      </c>
      <c r="J185" s="0" t="n">
        <v>10</v>
      </c>
      <c r="K185" s="7" t="n">
        <f aca="false">H185*I185*(1-J185/100)</f>
        <v>18360</v>
      </c>
      <c r="L185" s="7" t="n">
        <f aca="false">K185*0.55</f>
        <v>10098</v>
      </c>
      <c r="M185" s="7" t="n">
        <f aca="false">K185-L185</f>
        <v>8262</v>
      </c>
    </row>
    <row r="186" customFormat="false" ht="15" hidden="false" customHeight="false" outlineLevel="0" collapsed="false">
      <c r="A186" s="2" t="s">
        <v>245</v>
      </c>
      <c r="B186" s="3" t="n">
        <v>45694</v>
      </c>
      <c r="C186" s="2" t="s">
        <v>34</v>
      </c>
      <c r="D186" s="2" t="s">
        <v>30</v>
      </c>
      <c r="E186" s="2" t="s">
        <v>16</v>
      </c>
      <c r="F186" s="2" t="s">
        <v>60</v>
      </c>
      <c r="G186" s="2" t="s">
        <v>18</v>
      </c>
      <c r="H186" s="2" t="n">
        <v>8</v>
      </c>
      <c r="I186" s="4" t="n">
        <v>650</v>
      </c>
      <c r="J186" s="2" t="n">
        <v>5</v>
      </c>
      <c r="K186" s="4" t="n">
        <f aca="false">H186*I186*(1-J186/100)</f>
        <v>4940</v>
      </c>
      <c r="L186" s="4" t="n">
        <f aca="false">K186*0.58</f>
        <v>2865.2</v>
      </c>
      <c r="M186" s="4" t="n">
        <f aca="false">K186-L186</f>
        <v>2074.8</v>
      </c>
    </row>
    <row r="187" customFormat="false" ht="15" hidden="false" customHeight="false" outlineLevel="0" collapsed="false">
      <c r="A187" s="0" t="s">
        <v>246</v>
      </c>
      <c r="B187" s="5" t="n">
        <v>45716</v>
      </c>
      <c r="C187" s="6" t="s">
        <v>34</v>
      </c>
      <c r="D187" s="6" t="s">
        <v>15</v>
      </c>
      <c r="E187" s="6" t="s">
        <v>38</v>
      </c>
      <c r="F187" s="6" t="s">
        <v>63</v>
      </c>
      <c r="G187" s="6" t="s">
        <v>69</v>
      </c>
      <c r="H187" s="0" t="n">
        <v>2</v>
      </c>
      <c r="I187" s="7" t="n">
        <v>450</v>
      </c>
      <c r="J187" s="0" t="n">
        <v>10</v>
      </c>
      <c r="K187" s="7" t="n">
        <f aca="false">H187*I187*(1-J187/100)</f>
        <v>810</v>
      </c>
      <c r="L187" s="7" t="n">
        <f aca="false">K187*0.73</f>
        <v>591.3</v>
      </c>
      <c r="M187" s="7" t="n">
        <f aca="false">K187-L187</f>
        <v>218.7</v>
      </c>
    </row>
    <row r="188" customFormat="false" ht="15" hidden="false" customHeight="false" outlineLevel="0" collapsed="false">
      <c r="A188" s="2" t="s">
        <v>247</v>
      </c>
      <c r="B188" s="3" t="n">
        <v>45721</v>
      </c>
      <c r="C188" s="2" t="s">
        <v>14</v>
      </c>
      <c r="D188" s="2" t="s">
        <v>20</v>
      </c>
      <c r="E188" s="2" t="s">
        <v>21</v>
      </c>
      <c r="F188" s="2" t="s">
        <v>68</v>
      </c>
      <c r="G188" s="2" t="s">
        <v>49</v>
      </c>
      <c r="H188" s="2" t="n">
        <v>6</v>
      </c>
      <c r="I188" s="4" t="n">
        <v>45000</v>
      </c>
      <c r="J188" s="2" t="n">
        <v>20</v>
      </c>
      <c r="K188" s="4" t="n">
        <f aca="false">H188*I188*(1-J188/100)</f>
        <v>216000</v>
      </c>
      <c r="L188" s="4" t="n">
        <f aca="false">K188*0.71</f>
        <v>153360</v>
      </c>
      <c r="M188" s="4" t="n">
        <f aca="false">K188-L188</f>
        <v>62640</v>
      </c>
    </row>
    <row r="189" customFormat="false" ht="15" hidden="false" customHeight="false" outlineLevel="0" collapsed="false">
      <c r="A189" s="0" t="s">
        <v>248</v>
      </c>
      <c r="B189" s="5" t="n">
        <v>45681</v>
      </c>
      <c r="C189" s="6" t="s">
        <v>29</v>
      </c>
      <c r="D189" s="6" t="s">
        <v>37</v>
      </c>
      <c r="E189" s="6" t="s">
        <v>45</v>
      </c>
      <c r="F189" s="6" t="s">
        <v>46</v>
      </c>
      <c r="G189" s="6" t="s">
        <v>35</v>
      </c>
      <c r="H189" s="0" t="n">
        <v>8</v>
      </c>
      <c r="I189" s="7" t="n">
        <v>900</v>
      </c>
      <c r="J189" s="0" t="n">
        <v>15</v>
      </c>
      <c r="K189" s="7" t="n">
        <f aca="false">H189*I189*(1-J189/100)</f>
        <v>6120</v>
      </c>
      <c r="L189" s="7" t="n">
        <f aca="false">K189*0.67</f>
        <v>4100.4</v>
      </c>
      <c r="M189" s="7" t="n">
        <f aca="false">K189-L189</f>
        <v>2019.6</v>
      </c>
    </row>
    <row r="190" customFormat="false" ht="15" hidden="false" customHeight="false" outlineLevel="0" collapsed="false">
      <c r="A190" s="2" t="s">
        <v>249</v>
      </c>
      <c r="B190" s="3" t="n">
        <v>45742</v>
      </c>
      <c r="C190" s="2" t="s">
        <v>14</v>
      </c>
      <c r="D190" s="2" t="s">
        <v>37</v>
      </c>
      <c r="E190" s="2" t="s">
        <v>25</v>
      </c>
      <c r="F190" s="2" t="s">
        <v>26</v>
      </c>
      <c r="G190" s="2" t="s">
        <v>18</v>
      </c>
      <c r="H190" s="2" t="n">
        <v>10</v>
      </c>
      <c r="I190" s="4" t="n">
        <v>22000</v>
      </c>
      <c r="J190" s="2" t="n">
        <v>15</v>
      </c>
      <c r="K190" s="4" t="n">
        <f aca="false">H190*I190*(1-J190/100)</f>
        <v>187000</v>
      </c>
      <c r="L190" s="4" t="n">
        <f aca="false">K190*0.73</f>
        <v>136510</v>
      </c>
      <c r="M190" s="4" t="n">
        <f aca="false">K190-L190</f>
        <v>50490</v>
      </c>
    </row>
    <row r="191" customFormat="false" ht="15" hidden="false" customHeight="false" outlineLevel="0" collapsed="false">
      <c r="A191" s="0" t="s">
        <v>250</v>
      </c>
      <c r="B191" s="5" t="n">
        <v>45669</v>
      </c>
      <c r="C191" s="6" t="s">
        <v>29</v>
      </c>
      <c r="D191" s="6" t="s">
        <v>20</v>
      </c>
      <c r="E191" s="6" t="s">
        <v>21</v>
      </c>
      <c r="F191" s="6" t="s">
        <v>84</v>
      </c>
      <c r="G191" s="6" t="s">
        <v>32</v>
      </c>
      <c r="H191" s="0" t="n">
        <v>13</v>
      </c>
      <c r="I191" s="7" t="n">
        <v>38000</v>
      </c>
      <c r="J191" s="0" t="n">
        <v>20</v>
      </c>
      <c r="K191" s="7" t="n">
        <f aca="false">H191*I191*(1-J191/100)</f>
        <v>395200</v>
      </c>
      <c r="L191" s="7" t="n">
        <f aca="false">K191*0.66</f>
        <v>260832</v>
      </c>
      <c r="M191" s="7" t="n">
        <f aca="false">K191-L191</f>
        <v>134368</v>
      </c>
    </row>
    <row r="192" customFormat="false" ht="15" hidden="false" customHeight="false" outlineLevel="0" collapsed="false">
      <c r="A192" s="2" t="s">
        <v>251</v>
      </c>
      <c r="B192" s="3" t="n">
        <v>45684</v>
      </c>
      <c r="C192" s="2" t="s">
        <v>29</v>
      </c>
      <c r="D192" s="2" t="s">
        <v>30</v>
      </c>
      <c r="E192" s="2" t="s">
        <v>38</v>
      </c>
      <c r="F192" s="2" t="s">
        <v>42</v>
      </c>
      <c r="G192" s="2" t="s">
        <v>32</v>
      </c>
      <c r="H192" s="2" t="n">
        <v>2</v>
      </c>
      <c r="I192" s="4" t="n">
        <v>800</v>
      </c>
      <c r="J192" s="2" t="n">
        <v>15</v>
      </c>
      <c r="K192" s="4" t="n">
        <f aca="false">H192*I192*(1-J192/100)</f>
        <v>1360</v>
      </c>
      <c r="L192" s="4" t="n">
        <f aca="false">K192*0.72</f>
        <v>979.2</v>
      </c>
      <c r="M192" s="4" t="n">
        <f aca="false">K192-L192</f>
        <v>380.8</v>
      </c>
    </row>
    <row r="193" customFormat="false" ht="15" hidden="false" customHeight="false" outlineLevel="0" collapsed="false">
      <c r="A193" s="0" t="s">
        <v>252</v>
      </c>
      <c r="B193" s="5" t="n">
        <v>45720</v>
      </c>
      <c r="C193" s="6" t="s">
        <v>14</v>
      </c>
      <c r="D193" s="6" t="s">
        <v>20</v>
      </c>
      <c r="E193" s="6" t="s">
        <v>45</v>
      </c>
      <c r="F193" s="6" t="s">
        <v>102</v>
      </c>
      <c r="G193" s="6" t="s">
        <v>43</v>
      </c>
      <c r="H193" s="0" t="n">
        <v>6</v>
      </c>
      <c r="I193" s="7" t="n">
        <v>3200</v>
      </c>
      <c r="J193" s="0" t="n">
        <v>10</v>
      </c>
      <c r="K193" s="7" t="n">
        <f aca="false">H193*I193*(1-J193/100)</f>
        <v>17280</v>
      </c>
      <c r="L193" s="7" t="n">
        <f aca="false">K193*0.64</f>
        <v>11059.2</v>
      </c>
      <c r="M193" s="7" t="n">
        <f aca="false">K193-L193</f>
        <v>6220.8</v>
      </c>
    </row>
    <row r="194" customFormat="false" ht="15" hidden="false" customHeight="false" outlineLevel="0" collapsed="false">
      <c r="A194" s="2" t="s">
        <v>253</v>
      </c>
      <c r="B194" s="3" t="n">
        <v>45721</v>
      </c>
      <c r="C194" s="2" t="s">
        <v>14</v>
      </c>
      <c r="D194" s="2" t="s">
        <v>37</v>
      </c>
      <c r="E194" s="2" t="s">
        <v>45</v>
      </c>
      <c r="F194" s="2" t="s">
        <v>93</v>
      </c>
      <c r="G194" s="2" t="s">
        <v>72</v>
      </c>
      <c r="H194" s="2" t="n">
        <v>12</v>
      </c>
      <c r="I194" s="4" t="n">
        <v>1800</v>
      </c>
      <c r="J194" s="2" t="n">
        <v>0</v>
      </c>
      <c r="K194" s="4" t="n">
        <f aca="false">H194*I194*(1-J194/100)</f>
        <v>21600</v>
      </c>
      <c r="L194" s="4" t="n">
        <f aca="false">K194*0.63</f>
        <v>13608</v>
      </c>
      <c r="M194" s="4" t="n">
        <f aca="false">K194-L194</f>
        <v>7992</v>
      </c>
    </row>
    <row r="195" customFormat="false" ht="15" hidden="false" customHeight="false" outlineLevel="0" collapsed="false">
      <c r="A195" s="0" t="s">
        <v>254</v>
      </c>
      <c r="B195" s="5" t="n">
        <v>45705</v>
      </c>
      <c r="C195" s="6" t="s">
        <v>34</v>
      </c>
      <c r="D195" s="6" t="s">
        <v>41</v>
      </c>
      <c r="E195" s="6" t="s">
        <v>25</v>
      </c>
      <c r="F195" s="6" t="s">
        <v>81</v>
      </c>
      <c r="G195" s="6" t="s">
        <v>43</v>
      </c>
      <c r="H195" s="0" t="n">
        <v>12</v>
      </c>
      <c r="I195" s="7" t="n">
        <v>1500</v>
      </c>
      <c r="J195" s="0" t="n">
        <v>5</v>
      </c>
      <c r="K195" s="7" t="n">
        <f aca="false">H195*I195*(1-J195/100)</f>
        <v>17100</v>
      </c>
      <c r="L195" s="7" t="n">
        <f aca="false">K195*0.56</f>
        <v>9576</v>
      </c>
      <c r="M195" s="7" t="n">
        <f aca="false">K195-L195</f>
        <v>7524</v>
      </c>
    </row>
    <row r="196" customFormat="false" ht="15" hidden="false" customHeight="false" outlineLevel="0" collapsed="false">
      <c r="A196" s="2" t="s">
        <v>255</v>
      </c>
      <c r="B196" s="3" t="n">
        <v>45684</v>
      </c>
      <c r="C196" s="2" t="s">
        <v>29</v>
      </c>
      <c r="D196" s="2" t="s">
        <v>41</v>
      </c>
      <c r="E196" s="2" t="s">
        <v>25</v>
      </c>
      <c r="F196" s="2" t="s">
        <v>56</v>
      </c>
      <c r="G196" s="2" t="s">
        <v>23</v>
      </c>
      <c r="H196" s="2" t="n">
        <v>10</v>
      </c>
      <c r="I196" s="4" t="n">
        <v>120000</v>
      </c>
      <c r="J196" s="2" t="n">
        <v>15</v>
      </c>
      <c r="K196" s="4" t="n">
        <f aca="false">H196*I196*(1-J196/100)</f>
        <v>1020000</v>
      </c>
      <c r="L196" s="4" t="n">
        <f aca="false">K196*0.69</f>
        <v>703800</v>
      </c>
      <c r="M196" s="4" t="n">
        <f aca="false">K196-L196</f>
        <v>316200</v>
      </c>
    </row>
    <row r="197" customFormat="false" ht="15" hidden="false" customHeight="false" outlineLevel="0" collapsed="false">
      <c r="A197" s="0" t="s">
        <v>256</v>
      </c>
      <c r="B197" s="5" t="n">
        <v>45682</v>
      </c>
      <c r="C197" s="6" t="s">
        <v>29</v>
      </c>
      <c r="D197" s="6" t="s">
        <v>37</v>
      </c>
      <c r="E197" s="6" t="s">
        <v>21</v>
      </c>
      <c r="F197" s="6" t="s">
        <v>71</v>
      </c>
      <c r="G197" s="6" t="s">
        <v>23</v>
      </c>
      <c r="H197" s="0" t="n">
        <v>3</v>
      </c>
      <c r="I197" s="7" t="n">
        <v>12000</v>
      </c>
      <c r="J197" s="0" t="n">
        <v>0</v>
      </c>
      <c r="K197" s="7" t="n">
        <f aca="false">H197*I197*(1-J197/100)</f>
        <v>36000</v>
      </c>
      <c r="L197" s="7" t="n">
        <f aca="false">K197*0.6</f>
        <v>21600</v>
      </c>
      <c r="M197" s="7" t="n">
        <f aca="false">K197-L197</f>
        <v>14400</v>
      </c>
    </row>
    <row r="198" customFormat="false" ht="15" hidden="false" customHeight="false" outlineLevel="0" collapsed="false">
      <c r="A198" s="2" t="s">
        <v>257</v>
      </c>
      <c r="B198" s="3" t="n">
        <v>45675</v>
      </c>
      <c r="C198" s="2" t="s">
        <v>29</v>
      </c>
      <c r="D198" s="2" t="s">
        <v>20</v>
      </c>
      <c r="E198" s="2" t="s">
        <v>38</v>
      </c>
      <c r="F198" s="2" t="s">
        <v>100</v>
      </c>
      <c r="G198" s="2" t="s">
        <v>43</v>
      </c>
      <c r="H198" s="2" t="n">
        <v>10</v>
      </c>
      <c r="I198" s="4" t="n">
        <v>650</v>
      </c>
      <c r="J198" s="2" t="n">
        <v>5</v>
      </c>
      <c r="K198" s="4" t="n">
        <f aca="false">H198*I198*(1-J198/100)</f>
        <v>6175</v>
      </c>
      <c r="L198" s="4" t="n">
        <f aca="false">K198*0.61</f>
        <v>3766.75</v>
      </c>
      <c r="M198" s="4" t="n">
        <f aca="false">K198-L198</f>
        <v>2408.25</v>
      </c>
    </row>
    <row r="199" customFormat="false" ht="15" hidden="false" customHeight="false" outlineLevel="0" collapsed="false">
      <c r="A199" s="0" t="s">
        <v>258</v>
      </c>
      <c r="B199" s="5" t="n">
        <v>45665</v>
      </c>
      <c r="C199" s="6" t="s">
        <v>29</v>
      </c>
      <c r="D199" s="6" t="s">
        <v>37</v>
      </c>
      <c r="E199" s="6" t="s">
        <v>38</v>
      </c>
      <c r="F199" s="6" t="s">
        <v>100</v>
      </c>
      <c r="G199" s="6" t="s">
        <v>43</v>
      </c>
      <c r="H199" s="0" t="n">
        <v>4</v>
      </c>
      <c r="I199" s="7" t="n">
        <v>650</v>
      </c>
      <c r="J199" s="0" t="n">
        <v>15</v>
      </c>
      <c r="K199" s="7" t="n">
        <f aca="false">H199*I199*(1-J199/100)</f>
        <v>2210</v>
      </c>
      <c r="L199" s="7" t="n">
        <f aca="false">K199*0.67</f>
        <v>1480.7</v>
      </c>
      <c r="M199" s="7" t="n">
        <f aca="false">K199-L199</f>
        <v>729.3</v>
      </c>
    </row>
    <row r="200" customFormat="false" ht="15" hidden="false" customHeight="false" outlineLevel="0" collapsed="false">
      <c r="A200" s="2" t="s">
        <v>259</v>
      </c>
      <c r="B200" s="3" t="n">
        <v>45678</v>
      </c>
      <c r="C200" s="2" t="s">
        <v>29</v>
      </c>
      <c r="D200" s="2" t="s">
        <v>20</v>
      </c>
      <c r="E200" s="2" t="s">
        <v>38</v>
      </c>
      <c r="F200" s="2" t="s">
        <v>42</v>
      </c>
      <c r="G200" s="2" t="s">
        <v>49</v>
      </c>
      <c r="H200" s="2" t="n">
        <v>10</v>
      </c>
      <c r="I200" s="4" t="n">
        <v>800</v>
      </c>
      <c r="J200" s="2" t="n">
        <v>15</v>
      </c>
      <c r="K200" s="4" t="n">
        <f aca="false">H200*I200*(1-J200/100)</f>
        <v>6800</v>
      </c>
      <c r="L200" s="4" t="n">
        <f aca="false">K200*0.55</f>
        <v>3740</v>
      </c>
      <c r="M200" s="4" t="n">
        <f aca="false">K200-L200</f>
        <v>3060</v>
      </c>
    </row>
    <row r="201" customFormat="false" ht="15" hidden="false" customHeight="false" outlineLevel="0" collapsed="false">
      <c r="A201" s="0" t="s">
        <v>260</v>
      </c>
      <c r="B201" s="5" t="n">
        <v>45696</v>
      </c>
      <c r="C201" s="6" t="s">
        <v>34</v>
      </c>
      <c r="D201" s="6" t="s">
        <v>20</v>
      </c>
      <c r="E201" s="6" t="s">
        <v>21</v>
      </c>
      <c r="F201" s="6" t="s">
        <v>68</v>
      </c>
      <c r="G201" s="6" t="s">
        <v>43</v>
      </c>
      <c r="H201" s="0" t="n">
        <v>17</v>
      </c>
      <c r="I201" s="7" t="n">
        <v>45000</v>
      </c>
      <c r="J201" s="0" t="n">
        <v>10</v>
      </c>
      <c r="K201" s="7" t="n">
        <f aca="false">H201*I201*(1-J201/100)</f>
        <v>688500</v>
      </c>
      <c r="L201" s="7" t="n">
        <f aca="false">K201*0.56</f>
        <v>385560</v>
      </c>
      <c r="M201" s="7" t="n">
        <f aca="false">K201-L201</f>
        <v>302940</v>
      </c>
    </row>
  </sheetData>
  <autoFilter ref="A1:M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8" t="s">
        <v>261</v>
      </c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B4" s="9" t="s">
        <v>262</v>
      </c>
      <c r="C4" s="9"/>
      <c r="D4" s="9"/>
      <c r="F4" s="9" t="s">
        <v>263</v>
      </c>
      <c r="G4" s="9"/>
      <c r="H4" s="9"/>
    </row>
    <row r="5" customFormat="false" ht="15" hidden="false" customHeight="false" outlineLevel="0" collapsed="false">
      <c r="B5" s="10" t="s">
        <v>4</v>
      </c>
      <c r="C5" s="10" t="s">
        <v>264</v>
      </c>
      <c r="D5" s="10" t="s">
        <v>265</v>
      </c>
      <c r="F5" s="10" t="s">
        <v>3</v>
      </c>
      <c r="G5" s="10" t="s">
        <v>264</v>
      </c>
      <c r="H5" s="10" t="s">
        <v>266</v>
      </c>
    </row>
    <row r="6" customFormat="false" ht="15" hidden="false" customHeight="false" outlineLevel="0" collapsed="false">
      <c r="B6" s="0" t="s">
        <v>45</v>
      </c>
      <c r="C6" s="7" t="n">
        <f aca="false">SUMIF(Sales_Data!E:E,B6,Sales_Data!K:K)</f>
        <v>672905</v>
      </c>
      <c r="D6" s="11" t="n">
        <f aca="false">C6/SUM(C6:C10)</f>
        <v>0.0198505294851184</v>
      </c>
      <c r="F6" s="6" t="s">
        <v>15</v>
      </c>
      <c r="G6" s="7" t="n">
        <f aca="false">SUMIF(Sales_Data!D:D,F6,Sales_Data!K:K)</f>
        <v>7122941</v>
      </c>
      <c r="H6" s="7" t="n">
        <f aca="false">SUMIF(Sales_Data!D:D,F6,Sales_Data!M:M)</f>
        <v>2512878.17</v>
      </c>
    </row>
    <row r="7" customFormat="false" ht="15" hidden="false" customHeight="false" outlineLevel="0" collapsed="false">
      <c r="B7" s="0" t="s">
        <v>25</v>
      </c>
      <c r="C7" s="7" t="n">
        <f aca="false">SUMIF(Sales_Data!E:E,B7,Sales_Data!K:K)</f>
        <v>15241750</v>
      </c>
      <c r="D7" s="11" t="n">
        <f aca="false">C7/SUM(C6:C10)</f>
        <v>0.449627819350137</v>
      </c>
      <c r="F7" s="6" t="s">
        <v>30</v>
      </c>
      <c r="G7" s="7" t="n">
        <f aca="false">SUMIF(Sales_Data!D:D,F7,Sales_Data!K:K)</f>
        <v>7673557.5</v>
      </c>
      <c r="H7" s="7" t="n">
        <f aca="false">SUMIF(Sales_Data!D:D,F7,Sales_Data!M:M)</f>
        <v>2555583.55</v>
      </c>
    </row>
    <row r="8" customFormat="false" ht="15" hidden="false" customHeight="false" outlineLevel="0" collapsed="false">
      <c r="B8" s="0" t="s">
        <v>16</v>
      </c>
      <c r="C8" s="7" t="n">
        <f aca="false">SUMIF(Sales_Data!E:E,B8,Sales_Data!K:K)</f>
        <v>195037</v>
      </c>
      <c r="D8" s="11" t="n">
        <f aca="false">C8/SUM(C6:C10)</f>
        <v>0.00575354280201372</v>
      </c>
      <c r="F8" s="6" t="s">
        <v>41</v>
      </c>
      <c r="G8" s="7" t="n">
        <f aca="false">SUMIF(Sales_Data!D:D,F8,Sales_Data!K:K)</f>
        <v>7542968</v>
      </c>
      <c r="H8" s="7" t="n">
        <f aca="false">SUMIF(Sales_Data!D:D,F8,Sales_Data!M:M)</f>
        <v>2672484.81</v>
      </c>
    </row>
    <row r="9" customFormat="false" ht="15" hidden="false" customHeight="false" outlineLevel="0" collapsed="false">
      <c r="B9" s="0" t="s">
        <v>21</v>
      </c>
      <c r="C9" s="7" t="n">
        <f aca="false">SUMIF(Sales_Data!E:E,B9,Sales_Data!K:K)</f>
        <v>17343700</v>
      </c>
      <c r="D9" s="11" t="n">
        <f aca="false">C9/SUM(C6:C10)</f>
        <v>0.511634819522888</v>
      </c>
      <c r="F9" s="6" t="s">
        <v>37</v>
      </c>
      <c r="G9" s="7" t="n">
        <f aca="false">SUMIF(Sales_Data!D:D,F9,Sales_Data!K:K)</f>
        <v>4927067.5</v>
      </c>
      <c r="H9" s="7" t="n">
        <f aca="false">SUMIF(Sales_Data!D:D,F9,Sales_Data!M:M)</f>
        <v>1783135.35</v>
      </c>
    </row>
    <row r="10" customFormat="false" ht="15" hidden="false" customHeight="false" outlineLevel="0" collapsed="false">
      <c r="B10" s="0" t="s">
        <v>38</v>
      </c>
      <c r="C10" s="7" t="n">
        <f aca="false">SUMIF(Sales_Data!E:E,B10,Sales_Data!K:K)</f>
        <v>445200</v>
      </c>
      <c r="D10" s="11" t="n">
        <f aca="false">C10/SUM(C6:C10)</f>
        <v>0.0131332888398433</v>
      </c>
      <c r="F10" s="6" t="s">
        <v>20</v>
      </c>
      <c r="G10" s="7" t="n">
        <f aca="false">SUMIF(Sales_Data!D:D,F10,Sales_Data!K:K)</f>
        <v>6632058</v>
      </c>
      <c r="H10" s="7" t="n">
        <f aca="false">SUMIF(Sales_Data!D:D,F10,Sales_Data!M:M)</f>
        <v>2444508.6</v>
      </c>
    </row>
    <row r="11" customFormat="false" ht="15" hidden="false" customHeight="false" outlineLevel="0" collapsed="false">
      <c r="B11" s="12" t="s">
        <v>267</v>
      </c>
      <c r="C11" s="13" t="n">
        <f aca="false">SUM(C6:C10)</f>
        <v>33898592</v>
      </c>
    </row>
    <row r="13" customFormat="false" ht="15" hidden="false" customHeight="false" outlineLevel="0" collapsed="false">
      <c r="B13" s="9" t="s">
        <v>268</v>
      </c>
      <c r="C13" s="9"/>
      <c r="D13" s="9"/>
    </row>
    <row r="14" customFormat="false" ht="15" hidden="false" customHeight="false" outlineLevel="0" collapsed="false">
      <c r="B14" s="10" t="s">
        <v>2</v>
      </c>
      <c r="C14" s="10" t="s">
        <v>269</v>
      </c>
      <c r="D14" s="10" t="s">
        <v>270</v>
      </c>
    </row>
    <row r="15" customFormat="false" ht="15" hidden="false" customHeight="false" outlineLevel="0" collapsed="false">
      <c r="B15" s="0" t="s">
        <v>29</v>
      </c>
      <c r="C15" s="7" t="n">
        <f aca="false">SUMIF(Sales_Data!C:C,B15,Sales_Data!K:K)</f>
        <v>15111715</v>
      </c>
      <c r="D15" s="7" t="n">
        <f aca="false">SUMIF(Sales_Data!C:C,B15,Sales_Data!M:M)</f>
        <v>5371570.75</v>
      </c>
    </row>
    <row r="16" customFormat="false" ht="15" hidden="false" customHeight="false" outlineLevel="0" collapsed="false">
      <c r="B16" s="0" t="s">
        <v>34</v>
      </c>
      <c r="C16" s="7" t="n">
        <f aca="false">SUMIF(Sales_Data!C:C,B16,Sales_Data!K:K)</f>
        <v>9574198.5</v>
      </c>
      <c r="D16" s="7" t="n">
        <f aca="false">SUMIF(Sales_Data!C:C,B16,Sales_Data!M:M)</f>
        <v>3382188.21</v>
      </c>
    </row>
    <row r="17" customFormat="false" ht="15" hidden="false" customHeight="false" outlineLevel="0" collapsed="false">
      <c r="B17" s="0" t="s">
        <v>14</v>
      </c>
      <c r="C17" s="7" t="n">
        <f aca="false">SUMIF(Sales_Data!C:C,B17,Sales_Data!K:K)</f>
        <v>9212678.5</v>
      </c>
      <c r="D17" s="7" t="n">
        <f aca="false">SUMIF(Sales_Data!C:C,B17,Sales_Data!M:M)</f>
        <v>3214831.52</v>
      </c>
    </row>
  </sheetData>
  <mergeCells count="4">
    <mergeCell ref="B2:H2"/>
    <mergeCell ref="B4:D4"/>
    <mergeCell ref="F4:H4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50"/>
  </cols>
  <sheetData>
    <row r="2" customFormat="false" ht="17.35" hidden="false" customHeight="false" outlineLevel="0" collapsed="false">
      <c r="B2" s="14" t="s">
        <v>271</v>
      </c>
      <c r="C2" s="14"/>
      <c r="D2" s="14"/>
      <c r="E2" s="14"/>
      <c r="F2" s="14"/>
      <c r="G2" s="14"/>
    </row>
    <row r="4" customFormat="false" ht="15" hidden="false" customHeight="false" outlineLevel="0" collapsed="false">
      <c r="B4" s="15" t="s">
        <v>272</v>
      </c>
    </row>
    <row r="6" customFormat="false" ht="15" hidden="false" customHeight="false" outlineLevel="0" collapsed="false">
      <c r="B6" s="16" t="s">
        <v>273</v>
      </c>
      <c r="C6" s="16" t="s">
        <v>274</v>
      </c>
      <c r="D6" s="16" t="s">
        <v>275</v>
      </c>
      <c r="F6" s="16" t="s">
        <v>276</v>
      </c>
    </row>
    <row r="7" customFormat="false" ht="15" hidden="false" customHeight="false" outlineLevel="0" collapsed="false">
      <c r="B7" s="17" t="s">
        <v>277</v>
      </c>
      <c r="C7" s="18" t="s">
        <v>278</v>
      </c>
      <c r="D7" s="19" t="s">
        <v>279</v>
      </c>
      <c r="F7" s="20" t="n">
        <f aca="false">SUMIF(Sales_Data!D:D,"Lahore",Sales_Data!K:K)</f>
        <v>7122941</v>
      </c>
    </row>
    <row r="8" customFormat="false" ht="15" hidden="false" customHeight="false" outlineLevel="0" collapsed="false">
      <c r="B8" s="17" t="s">
        <v>280</v>
      </c>
      <c r="C8" s="18" t="s">
        <v>281</v>
      </c>
      <c r="D8" s="19" t="s">
        <v>279</v>
      </c>
      <c r="F8" s="20" t="n">
        <f aca="false">COUNTIF(Sales_Data!E:E,"Clothing")</f>
        <v>39</v>
      </c>
    </row>
    <row r="9" customFormat="false" ht="15" hidden="false" customHeight="false" outlineLevel="0" collapsed="false">
      <c r="B9" s="17" t="s">
        <v>282</v>
      </c>
      <c r="C9" s="18" t="s">
        <v>283</v>
      </c>
      <c r="D9" s="19" t="s">
        <v>279</v>
      </c>
      <c r="F9" s="20" t="n">
        <f aca="false">AVERAGEIF(Sales_Data!E:E,"Electronics",Sales_Data!M:M)</f>
        <v>128672.042682927</v>
      </c>
    </row>
    <row r="10" customFormat="false" ht="15" hidden="false" customHeight="false" outlineLevel="0" collapsed="false">
      <c r="B10" s="17" t="s">
        <v>284</v>
      </c>
      <c r="C10" s="18" t="s">
        <v>285</v>
      </c>
      <c r="D10" s="19" t="s">
        <v>279</v>
      </c>
      <c r="F10" s="20" t="n">
        <f aca="false">SUMIFS(Sales_Data!K:K,Sales_Data!D:D,"Karachi",Sales_Data!E:E,"Clothing")</f>
        <v>147650</v>
      </c>
    </row>
    <row r="11" customFormat="false" ht="15" hidden="false" customHeight="false" outlineLevel="0" collapsed="false">
      <c r="B11" s="17" t="s">
        <v>286</v>
      </c>
      <c r="C11" s="18" t="s">
        <v>287</v>
      </c>
      <c r="D11" s="19" t="s">
        <v>279</v>
      </c>
      <c r="F11" s="20" t="n">
        <f aca="false">VLOOKUP("Laptop",Sales_Data!F:I,4,0)</f>
        <v>120000</v>
      </c>
    </row>
    <row r="12" customFormat="false" ht="15" hidden="false" customHeight="false" outlineLevel="0" collapsed="false">
      <c r="B12" s="17" t="s">
        <v>288</v>
      </c>
      <c r="C12" s="18" t="s">
        <v>289</v>
      </c>
      <c r="D12" s="19" t="s">
        <v>279</v>
      </c>
      <c r="F12" s="20" t="n">
        <f aca="false">MAX(Sales_Data!K:K)</f>
        <v>2400000</v>
      </c>
    </row>
    <row r="13" customFormat="false" ht="15" hidden="false" customHeight="false" outlineLevel="0" collapsed="false">
      <c r="B13" s="17" t="s">
        <v>290</v>
      </c>
      <c r="C13" s="18" t="s">
        <v>291</v>
      </c>
      <c r="D13" s="19" t="s">
        <v>279</v>
      </c>
      <c r="F13" s="20" t="n">
        <f aca="false">MIN(Sales_Data!K:K)</f>
        <v>510</v>
      </c>
    </row>
    <row r="14" customFormat="false" ht="15" hidden="false" customHeight="false" outlineLevel="0" collapsed="false">
      <c r="B14" s="17" t="s">
        <v>292</v>
      </c>
      <c r="C14" s="18" t="s">
        <v>293</v>
      </c>
      <c r="D14" s="19" t="s">
        <v>279</v>
      </c>
      <c r="F14" s="20" t="n">
        <f aca="false">AVERAGE(Sales_Data!K:K)</f>
        <v>169492.96</v>
      </c>
    </row>
    <row r="15" customFormat="false" ht="15" hidden="false" customHeight="false" outlineLevel="0" collapsed="false">
      <c r="B15" s="17" t="s">
        <v>294</v>
      </c>
      <c r="C15" s="18" t="s">
        <v>295</v>
      </c>
      <c r="D15" s="19" t="s">
        <v>279</v>
      </c>
      <c r="F15" s="20" t="str">
        <f aca="false">IF(Sales_Data!M2&gt;10000,"High","Low")</f>
        <v>Low</v>
      </c>
    </row>
    <row r="16" customFormat="false" ht="15" hidden="false" customHeight="false" outlineLevel="0" collapsed="false">
      <c r="B16" s="17" t="s">
        <v>296</v>
      </c>
      <c r="C16" s="18" t="s">
        <v>297</v>
      </c>
      <c r="D16" s="19" t="s">
        <v>279</v>
      </c>
      <c r="F16" s="20" t="n">
        <f aca="false">COUNTA(Sales_Data!A:A)-1</f>
        <v>200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2026-05-31T08:49:22Z</dcterms:created>
  <dc:creator>openpyxl</dc:creator>
  <dc:description/>
  <dc:language>en-US</dc:language>
  <cp:lastModifiedBy/>
  <dcterms:modified xsi:type="dcterms:W3CDTF">2026-05-31T08:49:22Z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